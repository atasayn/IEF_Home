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na1041\Desktop\Uni Stuff\Home Office\"/>
    </mc:Choice>
  </mc:AlternateContent>
  <xr:revisionPtr revIDLastSave="0" documentId="13_ncr:1_{75668160-DCB4-4578-BC96-A309450A17B8}" xr6:coauthVersionLast="36" xr6:coauthVersionMax="36" xr10:uidLastSave="{00000000-0000-0000-0000-000000000000}"/>
  <bookViews>
    <workbookView xWindow="0" yWindow="0" windowWidth="28800" windowHeight="12225" activeTab="2" xr2:uid="{00000000-000D-0000-FFFF-FFFF00000000}"/>
  </bookViews>
  <sheets>
    <sheet name="Januar 2023" sheetId="1" r:id="rId1"/>
    <sheet name="Februar 2023" sheetId="3" r:id="rId2"/>
    <sheet name="März 2023" sheetId="4" r:id="rId3"/>
    <sheet name="April 2023" sheetId="5" r:id="rId4"/>
    <sheet name="Mai 2023" sheetId="6" r:id="rId5"/>
    <sheet name="Juni 2023" sheetId="7" r:id="rId6"/>
    <sheet name="Juli 2023" sheetId="8" r:id="rId7"/>
    <sheet name="August 2023" sheetId="9" r:id="rId8"/>
    <sheet name="September 2023" sheetId="10" r:id="rId9"/>
    <sheet name="Oktober 2023" sheetId="11" r:id="rId10"/>
    <sheet name="November 2023" sheetId="12" r:id="rId11"/>
    <sheet name="Dezember 2023" sheetId="13" r:id="rId12"/>
    <sheet name="Tabelle2" sheetId="2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6" l="1"/>
  <c r="B19" i="6"/>
  <c r="B20" i="6"/>
  <c r="B21" i="6"/>
  <c r="B22" i="6"/>
  <c r="B23" i="6"/>
  <c r="B25" i="6"/>
  <c r="B26" i="6"/>
  <c r="B27" i="6"/>
  <c r="B28" i="6"/>
  <c r="B29" i="6"/>
  <c r="B30" i="6"/>
  <c r="B32" i="6"/>
  <c r="B33" i="6"/>
  <c r="B34" i="6"/>
  <c r="B35" i="6"/>
  <c r="B12" i="6"/>
  <c r="B13" i="6"/>
  <c r="B14" i="6"/>
  <c r="B15" i="6"/>
  <c r="B16" i="6"/>
  <c r="B11" i="6"/>
  <c r="B5" i="6"/>
  <c r="B6" i="6"/>
  <c r="B7" i="6"/>
  <c r="B8" i="6"/>
  <c r="B9" i="6"/>
  <c r="B4" i="6"/>
  <c r="B18" i="5"/>
  <c r="B19" i="5"/>
  <c r="B20" i="5"/>
  <c r="B21" i="5"/>
  <c r="B22" i="5"/>
  <c r="B23" i="5"/>
  <c r="B25" i="5"/>
  <c r="B26" i="5"/>
  <c r="B27" i="5"/>
  <c r="B28" i="5"/>
  <c r="B29" i="5"/>
  <c r="B30" i="5"/>
  <c r="B12" i="5"/>
  <c r="B13" i="5"/>
  <c r="B14" i="5"/>
  <c r="B15" i="5"/>
  <c r="B16" i="5"/>
  <c r="B11" i="5"/>
  <c r="B5" i="5"/>
  <c r="B6" i="5"/>
  <c r="B7" i="5"/>
  <c r="B8" i="5"/>
  <c r="B9" i="5"/>
  <c r="B4" i="5"/>
  <c r="B18" i="4"/>
  <c r="B19" i="4"/>
  <c r="B20" i="4"/>
  <c r="B21" i="4"/>
  <c r="B22" i="4"/>
  <c r="B23" i="4"/>
  <c r="B25" i="4"/>
  <c r="B26" i="4"/>
  <c r="B27" i="4"/>
  <c r="B28" i="4"/>
  <c r="B29" i="4"/>
  <c r="B30" i="4"/>
  <c r="B32" i="4"/>
  <c r="B33" i="4"/>
  <c r="B34" i="4"/>
  <c r="B35" i="4"/>
  <c r="B36" i="4"/>
  <c r="B37" i="4"/>
  <c r="B12" i="4"/>
  <c r="B13" i="4"/>
  <c r="B14" i="4"/>
  <c r="B15" i="4"/>
  <c r="B16" i="4"/>
  <c r="B11" i="4"/>
  <c r="B5" i="4"/>
  <c r="B6" i="4"/>
  <c r="B7" i="4"/>
  <c r="B8" i="4"/>
  <c r="B9" i="4"/>
  <c r="B4" i="4"/>
  <c r="B16" i="3"/>
  <c r="B17" i="3"/>
  <c r="B18" i="3"/>
  <c r="B19" i="3"/>
  <c r="B20" i="3"/>
  <c r="B21" i="3"/>
  <c r="B23" i="3"/>
  <c r="B24" i="3"/>
  <c r="B25" i="3"/>
  <c r="B26" i="3"/>
  <c r="B27" i="3"/>
  <c r="B28" i="3"/>
  <c r="B30" i="3"/>
  <c r="B31" i="3"/>
  <c r="B32" i="3"/>
  <c r="B10" i="3"/>
  <c r="B11" i="3"/>
  <c r="B12" i="3"/>
  <c r="B13" i="3"/>
  <c r="B14" i="3"/>
  <c r="B9" i="3"/>
  <c r="B5" i="3"/>
  <c r="B6" i="3"/>
  <c r="B7" i="3"/>
  <c r="B4" i="3"/>
  <c r="B18" i="1"/>
  <c r="B19" i="1"/>
  <c r="B20" i="1"/>
  <c r="B21" i="1"/>
  <c r="B22" i="1"/>
  <c r="B23" i="1"/>
  <c r="B25" i="1"/>
  <c r="B26" i="1"/>
  <c r="B27" i="1"/>
  <c r="B28" i="1"/>
  <c r="B29" i="1"/>
  <c r="B30" i="1"/>
  <c r="B32" i="1"/>
  <c r="B33" i="1"/>
  <c r="B34" i="1"/>
  <c r="B12" i="1"/>
  <c r="B13" i="1"/>
  <c r="B14" i="1"/>
  <c r="B15" i="1"/>
  <c r="B16" i="1"/>
  <c r="B11" i="1"/>
  <c r="B5" i="1"/>
  <c r="B6" i="1"/>
  <c r="B7" i="1"/>
  <c r="B8" i="1"/>
  <c r="B9" i="1"/>
  <c r="B4" i="1"/>
  <c r="B14" i="13"/>
  <c r="B15" i="13"/>
  <c r="B16" i="13"/>
  <c r="B17" i="13"/>
  <c r="B18" i="13"/>
  <c r="B19" i="13"/>
  <c r="B21" i="13"/>
  <c r="B22" i="13"/>
  <c r="B23" i="13"/>
  <c r="B24" i="13"/>
  <c r="B25" i="13"/>
  <c r="B26" i="13"/>
  <c r="B28" i="13"/>
  <c r="B29" i="13"/>
  <c r="B30" i="13"/>
  <c r="B31" i="13"/>
  <c r="B32" i="13"/>
  <c r="B33" i="13"/>
  <c r="B8" i="13"/>
  <c r="B9" i="13"/>
  <c r="B10" i="13"/>
  <c r="B11" i="13"/>
  <c r="B12" i="13"/>
  <c r="B7" i="13"/>
  <c r="B4" i="13"/>
  <c r="B16" i="12"/>
  <c r="B17" i="12"/>
  <c r="B18" i="12"/>
  <c r="B19" i="12"/>
  <c r="B20" i="12"/>
  <c r="B21" i="12"/>
  <c r="B23" i="12"/>
  <c r="B24" i="12"/>
  <c r="B25" i="12"/>
  <c r="B26" i="12"/>
  <c r="B27" i="12"/>
  <c r="B28" i="12"/>
  <c r="B30" i="12"/>
  <c r="B31" i="12"/>
  <c r="B32" i="12"/>
  <c r="B33" i="12"/>
  <c r="B34" i="12"/>
  <c r="B10" i="12"/>
  <c r="B11" i="12"/>
  <c r="B12" i="12"/>
  <c r="B13" i="12"/>
  <c r="B14" i="12"/>
  <c r="B9" i="12"/>
  <c r="B5" i="12"/>
  <c r="B6" i="12"/>
  <c r="B4" i="12"/>
  <c r="B18" i="11"/>
  <c r="B19" i="11"/>
  <c r="B20" i="11"/>
  <c r="B21" i="11"/>
  <c r="B22" i="11"/>
  <c r="B23" i="11"/>
  <c r="B25" i="11"/>
  <c r="B26" i="11"/>
  <c r="B27" i="11"/>
  <c r="B28" i="11"/>
  <c r="B29" i="11"/>
  <c r="B30" i="11"/>
  <c r="B32" i="11"/>
  <c r="B33" i="11"/>
  <c r="B34" i="11"/>
  <c r="B12" i="11"/>
  <c r="B13" i="11"/>
  <c r="B14" i="11"/>
  <c r="B15" i="11"/>
  <c r="B16" i="11"/>
  <c r="B11" i="11"/>
  <c r="B5" i="11"/>
  <c r="B6" i="11"/>
  <c r="B7" i="11"/>
  <c r="B8" i="11"/>
  <c r="B9" i="11"/>
  <c r="B4" i="11"/>
  <c r="B14" i="10"/>
  <c r="B15" i="10"/>
  <c r="B16" i="10"/>
  <c r="B17" i="10"/>
  <c r="B18" i="10"/>
  <c r="B19" i="10"/>
  <c r="B21" i="10"/>
  <c r="B22" i="10"/>
  <c r="B23" i="10"/>
  <c r="B24" i="10"/>
  <c r="B25" i="10"/>
  <c r="B26" i="10"/>
  <c r="B28" i="10"/>
  <c r="B29" i="10"/>
  <c r="B30" i="10"/>
  <c r="B31" i="10"/>
  <c r="B32" i="10"/>
  <c r="B33" i="10"/>
  <c r="B8" i="10"/>
  <c r="B9" i="10"/>
  <c r="B10" i="10"/>
  <c r="B11" i="10"/>
  <c r="B12" i="10"/>
  <c r="B7" i="10"/>
  <c r="B4" i="10"/>
  <c r="B17" i="9"/>
  <c r="B18" i="9"/>
  <c r="B19" i="9"/>
  <c r="B20" i="9"/>
  <c r="B21" i="9"/>
  <c r="B22" i="9"/>
  <c r="B24" i="9"/>
  <c r="B25" i="9"/>
  <c r="B26" i="9"/>
  <c r="B27" i="9"/>
  <c r="B28" i="9"/>
  <c r="B29" i="9"/>
  <c r="B31" i="9"/>
  <c r="B32" i="9"/>
  <c r="B33" i="9"/>
  <c r="B34" i="9"/>
  <c r="B35" i="9"/>
  <c r="B11" i="9"/>
  <c r="B12" i="9"/>
  <c r="B13" i="9"/>
  <c r="B14" i="9"/>
  <c r="B15" i="9"/>
  <c r="B10" i="9"/>
  <c r="B5" i="9"/>
  <c r="B6" i="9"/>
  <c r="B7" i="9"/>
  <c r="B4" i="9"/>
  <c r="B18" i="8"/>
  <c r="B19" i="8"/>
  <c r="B20" i="8"/>
  <c r="B21" i="8"/>
  <c r="B22" i="8"/>
  <c r="B23" i="8"/>
  <c r="B25" i="8"/>
  <c r="B26" i="8"/>
  <c r="B27" i="8"/>
  <c r="B28" i="8"/>
  <c r="B29" i="8"/>
  <c r="B30" i="8"/>
  <c r="B32" i="8"/>
  <c r="B33" i="8"/>
  <c r="B12" i="8"/>
  <c r="B13" i="8"/>
  <c r="B14" i="8"/>
  <c r="B15" i="8"/>
  <c r="B16" i="8"/>
  <c r="B11" i="8"/>
  <c r="B5" i="8"/>
  <c r="B6" i="8"/>
  <c r="B7" i="8"/>
  <c r="B8" i="8"/>
  <c r="B9" i="8"/>
  <c r="B4" i="8"/>
  <c r="B15" i="7"/>
  <c r="B16" i="7"/>
  <c r="B17" i="7"/>
  <c r="B18" i="7"/>
  <c r="B19" i="7"/>
  <c r="B20" i="7"/>
  <c r="B22" i="7"/>
  <c r="B23" i="7"/>
  <c r="B24" i="7"/>
  <c r="B25" i="7"/>
  <c r="B26" i="7"/>
  <c r="B27" i="7"/>
  <c r="B29" i="7"/>
  <c r="B30" i="7"/>
  <c r="B31" i="7"/>
  <c r="B32" i="7"/>
  <c r="B33" i="7"/>
  <c r="B34" i="7"/>
  <c r="B9" i="7"/>
  <c r="B10" i="7"/>
  <c r="B11" i="7"/>
  <c r="B12" i="7"/>
  <c r="B13" i="7"/>
  <c r="B8" i="7"/>
  <c r="B5" i="7"/>
  <c r="B6" i="7"/>
  <c r="B4" i="7"/>
  <c r="H28" i="13" l="1"/>
  <c r="H29" i="13"/>
  <c r="H30" i="13"/>
  <c r="H31" i="13"/>
  <c r="K31" i="13" s="1"/>
  <c r="H32" i="13"/>
  <c r="E28" i="13"/>
  <c r="K28" i="13" s="1"/>
  <c r="E29" i="13"/>
  <c r="K29" i="13" s="1"/>
  <c r="E30" i="13"/>
  <c r="K30" i="13" s="1"/>
  <c r="E31" i="13"/>
  <c r="E32" i="13"/>
  <c r="K32" i="13" s="1"/>
  <c r="H30" i="12"/>
  <c r="H31" i="12"/>
  <c r="H32" i="12"/>
  <c r="K32" i="12" s="1"/>
  <c r="H33" i="12"/>
  <c r="E30" i="12"/>
  <c r="E31" i="12"/>
  <c r="E32" i="12"/>
  <c r="E33" i="12"/>
  <c r="K30" i="12"/>
  <c r="K31" i="12"/>
  <c r="K33" i="12"/>
  <c r="H25" i="13"/>
  <c r="E25" i="13"/>
  <c r="H24" i="13"/>
  <c r="E24" i="13"/>
  <c r="K24" i="13"/>
  <c r="H23" i="13"/>
  <c r="E23" i="13"/>
  <c r="H22" i="13"/>
  <c r="E22" i="13"/>
  <c r="K22" i="13" s="1"/>
  <c r="H21" i="13"/>
  <c r="E21" i="13"/>
  <c r="H18" i="13"/>
  <c r="K18" i="13" s="1"/>
  <c r="E18" i="13"/>
  <c r="H17" i="13"/>
  <c r="E17" i="13"/>
  <c r="H16" i="13"/>
  <c r="E16" i="13"/>
  <c r="H15" i="13"/>
  <c r="E15" i="13"/>
  <c r="H14" i="13"/>
  <c r="E14" i="13"/>
  <c r="H11" i="13"/>
  <c r="E11" i="13"/>
  <c r="H10" i="13"/>
  <c r="E10" i="13"/>
  <c r="H9" i="13"/>
  <c r="E9" i="13"/>
  <c r="K9" i="13" s="1"/>
  <c r="H8" i="13"/>
  <c r="E8" i="13"/>
  <c r="K8" i="13"/>
  <c r="H7" i="13"/>
  <c r="E7" i="13"/>
  <c r="B5" i="13"/>
  <c r="H4" i="13"/>
  <c r="E4" i="13"/>
  <c r="H27" i="12"/>
  <c r="E27" i="12"/>
  <c r="H26" i="12"/>
  <c r="E26" i="12"/>
  <c r="H25" i="12"/>
  <c r="E25" i="12"/>
  <c r="H24" i="12"/>
  <c r="E24" i="12"/>
  <c r="H23" i="12"/>
  <c r="E23" i="12"/>
  <c r="H20" i="12"/>
  <c r="E20" i="12"/>
  <c r="H19" i="12"/>
  <c r="E19" i="12"/>
  <c r="K19" i="12"/>
  <c r="H18" i="12"/>
  <c r="E18" i="12"/>
  <c r="H17" i="12"/>
  <c r="E17" i="12"/>
  <c r="H16" i="12"/>
  <c r="E16" i="12"/>
  <c r="H13" i="12"/>
  <c r="E13" i="12"/>
  <c r="H12" i="12"/>
  <c r="E12" i="12"/>
  <c r="H11" i="12"/>
  <c r="E11" i="12"/>
  <c r="H10" i="12"/>
  <c r="E10" i="12"/>
  <c r="H9" i="12"/>
  <c r="E9" i="12"/>
  <c r="B7" i="12"/>
  <c r="H6" i="12"/>
  <c r="E6" i="12"/>
  <c r="H5" i="12"/>
  <c r="E5" i="12"/>
  <c r="H4" i="12"/>
  <c r="E4" i="12"/>
  <c r="H32" i="11"/>
  <c r="H33" i="11"/>
  <c r="E32" i="11"/>
  <c r="E33" i="11"/>
  <c r="K33" i="11" s="1"/>
  <c r="K32" i="11"/>
  <c r="H29" i="11"/>
  <c r="E29" i="11"/>
  <c r="H28" i="11"/>
  <c r="E28" i="11"/>
  <c r="H27" i="11"/>
  <c r="E27" i="11"/>
  <c r="H26" i="11"/>
  <c r="E26" i="11"/>
  <c r="K26" i="11" s="1"/>
  <c r="H25" i="11"/>
  <c r="E25" i="11"/>
  <c r="H22" i="11"/>
  <c r="E22" i="11"/>
  <c r="H21" i="11"/>
  <c r="E21" i="11"/>
  <c r="H20" i="11"/>
  <c r="E20" i="11"/>
  <c r="H19" i="11"/>
  <c r="E19" i="11"/>
  <c r="H18" i="11"/>
  <c r="E18" i="11"/>
  <c r="H15" i="11"/>
  <c r="E15" i="11"/>
  <c r="K14" i="11"/>
  <c r="H14" i="11"/>
  <c r="E14" i="11"/>
  <c r="H13" i="11"/>
  <c r="E13" i="11"/>
  <c r="K13" i="11" s="1"/>
  <c r="H12" i="11"/>
  <c r="E12" i="11"/>
  <c r="H11" i="11"/>
  <c r="E11" i="11"/>
  <c r="K11" i="11" s="1"/>
  <c r="H8" i="11"/>
  <c r="E8" i="11"/>
  <c r="H7" i="11"/>
  <c r="E7" i="11"/>
  <c r="H6" i="11"/>
  <c r="E6" i="11"/>
  <c r="H5" i="11"/>
  <c r="E5" i="11"/>
  <c r="K5" i="11"/>
  <c r="H4" i="11"/>
  <c r="E4" i="11"/>
  <c r="K28" i="10"/>
  <c r="K29" i="10"/>
  <c r="H28" i="10"/>
  <c r="H29" i="10"/>
  <c r="H30" i="10"/>
  <c r="K30" i="10" s="1"/>
  <c r="H31" i="10"/>
  <c r="H32" i="10"/>
  <c r="E28" i="10"/>
  <c r="E29" i="10"/>
  <c r="E30" i="10"/>
  <c r="E31" i="10"/>
  <c r="K31" i="10" s="1"/>
  <c r="E32" i="10"/>
  <c r="K32" i="10" s="1"/>
  <c r="H25" i="10"/>
  <c r="E25" i="10"/>
  <c r="K25" i="10" s="1"/>
  <c r="H24" i="10"/>
  <c r="E24" i="10"/>
  <c r="K24" i="10" s="1"/>
  <c r="H23" i="10"/>
  <c r="E23" i="10"/>
  <c r="K23" i="10" s="1"/>
  <c r="H22" i="10"/>
  <c r="E22" i="10"/>
  <c r="K22" i="10" s="1"/>
  <c r="H21" i="10"/>
  <c r="E21" i="10"/>
  <c r="K21" i="10" s="1"/>
  <c r="H18" i="10"/>
  <c r="E18" i="10"/>
  <c r="H17" i="10"/>
  <c r="E17" i="10"/>
  <c r="K17" i="10"/>
  <c r="H16" i="10"/>
  <c r="K16" i="10" s="1"/>
  <c r="E16" i="10"/>
  <c r="H15" i="10"/>
  <c r="E15" i="10"/>
  <c r="K15" i="10" s="1"/>
  <c r="H14" i="10"/>
  <c r="E14" i="10"/>
  <c r="K14" i="10" s="1"/>
  <c r="H11" i="10"/>
  <c r="E11" i="10"/>
  <c r="H10" i="10"/>
  <c r="E10" i="10"/>
  <c r="K10" i="10" s="1"/>
  <c r="H9" i="10"/>
  <c r="E9" i="10"/>
  <c r="H8" i="10"/>
  <c r="E8" i="10"/>
  <c r="K8" i="10" s="1"/>
  <c r="H7" i="10"/>
  <c r="E7" i="10"/>
  <c r="B5" i="10"/>
  <c r="H4" i="10"/>
  <c r="E4" i="10"/>
  <c r="K4" i="10" s="1"/>
  <c r="H31" i="9"/>
  <c r="H32" i="9"/>
  <c r="K32" i="9" s="1"/>
  <c r="H33" i="9"/>
  <c r="H34" i="9"/>
  <c r="E31" i="9"/>
  <c r="K31" i="9" s="1"/>
  <c r="E32" i="9"/>
  <c r="E33" i="9"/>
  <c r="K33" i="9" s="1"/>
  <c r="E34" i="9"/>
  <c r="K34" i="9" s="1"/>
  <c r="K18" i="9"/>
  <c r="H28" i="9"/>
  <c r="E28" i="9"/>
  <c r="K28" i="9"/>
  <c r="H27" i="9"/>
  <c r="E27" i="9"/>
  <c r="H26" i="9"/>
  <c r="E26" i="9"/>
  <c r="K26" i="9"/>
  <c r="H25" i="9"/>
  <c r="E25" i="9"/>
  <c r="H24" i="9"/>
  <c r="E24" i="9"/>
  <c r="H21" i="9"/>
  <c r="E21" i="9"/>
  <c r="H20" i="9"/>
  <c r="E20" i="9"/>
  <c r="K20" i="9" s="1"/>
  <c r="H19" i="9"/>
  <c r="E19" i="9"/>
  <c r="H18" i="9"/>
  <c r="E18" i="9"/>
  <c r="H17" i="9"/>
  <c r="E17" i="9"/>
  <c r="H14" i="9"/>
  <c r="K14" i="9" s="1"/>
  <c r="E14" i="9"/>
  <c r="H13" i="9"/>
  <c r="E13" i="9"/>
  <c r="H12" i="9"/>
  <c r="E12" i="9"/>
  <c r="K12" i="9"/>
  <c r="H11" i="9"/>
  <c r="E11" i="9"/>
  <c r="H10" i="9"/>
  <c r="E10" i="9"/>
  <c r="K10" i="9" s="1"/>
  <c r="B8" i="9"/>
  <c r="H7" i="9"/>
  <c r="E7" i="9"/>
  <c r="H6" i="9"/>
  <c r="E6" i="9"/>
  <c r="H5" i="9"/>
  <c r="E5" i="9"/>
  <c r="H4" i="9"/>
  <c r="E4" i="9"/>
  <c r="K7" i="10" l="1"/>
  <c r="K35" i="9"/>
  <c r="K33" i="10"/>
  <c r="K33" i="13"/>
  <c r="K15" i="13"/>
  <c r="K17" i="13"/>
  <c r="K23" i="13"/>
  <c r="K16" i="13"/>
  <c r="K21" i="13"/>
  <c r="K7" i="13"/>
  <c r="K34" i="12"/>
  <c r="K16" i="12"/>
  <c r="K18" i="12"/>
  <c r="K10" i="13"/>
  <c r="K14" i="13"/>
  <c r="K11" i="13"/>
  <c r="K25" i="13"/>
  <c r="K4" i="13"/>
  <c r="K5" i="13" s="1"/>
  <c r="K5" i="12"/>
  <c r="K26" i="12"/>
  <c r="K4" i="12"/>
  <c r="K6" i="12"/>
  <c r="K25" i="12"/>
  <c r="K27" i="12"/>
  <c r="K10" i="12"/>
  <c r="K12" i="12"/>
  <c r="K17" i="12"/>
  <c r="K23" i="12"/>
  <c r="K24" i="12"/>
  <c r="K11" i="12"/>
  <c r="K9" i="12"/>
  <c r="K13" i="12"/>
  <c r="K20" i="12"/>
  <c r="K34" i="11"/>
  <c r="K20" i="11"/>
  <c r="K22" i="11"/>
  <c r="K15" i="11"/>
  <c r="K6" i="11"/>
  <c r="K8" i="11"/>
  <c r="K19" i="11"/>
  <c r="K7" i="11"/>
  <c r="K12" i="11"/>
  <c r="K21" i="11"/>
  <c r="K25" i="11"/>
  <c r="K4" i="11"/>
  <c r="K18" i="11"/>
  <c r="K27" i="11"/>
  <c r="K29" i="11"/>
  <c r="K28" i="11"/>
  <c r="K9" i="10"/>
  <c r="K18" i="10"/>
  <c r="K19" i="10" s="1"/>
  <c r="K11" i="10"/>
  <c r="K26" i="10"/>
  <c r="K5" i="10"/>
  <c r="K7" i="9"/>
  <c r="K24" i="9"/>
  <c r="K11" i="9"/>
  <c r="K13" i="9"/>
  <c r="K15" i="9" s="1"/>
  <c r="K5" i="9"/>
  <c r="K17" i="9"/>
  <c r="K19" i="9"/>
  <c r="K21" i="9"/>
  <c r="K4" i="9"/>
  <c r="K6" i="9"/>
  <c r="K25" i="9"/>
  <c r="K27" i="9"/>
  <c r="H32" i="8"/>
  <c r="E32" i="8"/>
  <c r="K32" i="8" s="1"/>
  <c r="K33" i="8" s="1"/>
  <c r="H29" i="8"/>
  <c r="E29" i="8"/>
  <c r="K29" i="8"/>
  <c r="H28" i="8"/>
  <c r="E28" i="8"/>
  <c r="H27" i="8"/>
  <c r="E27" i="8"/>
  <c r="K27" i="8" s="1"/>
  <c r="H26" i="8"/>
  <c r="E26" i="8"/>
  <c r="H25" i="8"/>
  <c r="K25" i="8" s="1"/>
  <c r="E25" i="8"/>
  <c r="H22" i="8"/>
  <c r="E22" i="8"/>
  <c r="H21" i="8"/>
  <c r="E21" i="8"/>
  <c r="H20" i="8"/>
  <c r="E20" i="8"/>
  <c r="H19" i="8"/>
  <c r="E19" i="8"/>
  <c r="H18" i="8"/>
  <c r="E18" i="8"/>
  <c r="H15" i="8"/>
  <c r="E15" i="8"/>
  <c r="H14" i="8"/>
  <c r="E14" i="8"/>
  <c r="H13" i="8"/>
  <c r="E13" i="8"/>
  <c r="H12" i="8"/>
  <c r="E12" i="8"/>
  <c r="H11" i="8"/>
  <c r="E11" i="8"/>
  <c r="H8" i="8"/>
  <c r="E8" i="8"/>
  <c r="H7" i="8"/>
  <c r="E7" i="8"/>
  <c r="H6" i="8"/>
  <c r="E6" i="8"/>
  <c r="H5" i="8"/>
  <c r="E5" i="8"/>
  <c r="H4" i="8"/>
  <c r="E4" i="8"/>
  <c r="K30" i="7"/>
  <c r="H29" i="7"/>
  <c r="H30" i="7"/>
  <c r="H31" i="7"/>
  <c r="H32" i="7"/>
  <c r="H33" i="7"/>
  <c r="E29" i="7"/>
  <c r="K29" i="7" s="1"/>
  <c r="E30" i="7"/>
  <c r="E31" i="7"/>
  <c r="K31" i="7" s="1"/>
  <c r="E32" i="7"/>
  <c r="K32" i="7" s="1"/>
  <c r="E33" i="7"/>
  <c r="K33" i="7" s="1"/>
  <c r="H26" i="7"/>
  <c r="E26" i="7"/>
  <c r="H25" i="7"/>
  <c r="K25" i="7" s="1"/>
  <c r="E25" i="7"/>
  <c r="H24" i="7"/>
  <c r="E24" i="7"/>
  <c r="H23" i="7"/>
  <c r="E23" i="7"/>
  <c r="H22" i="7"/>
  <c r="K22" i="7" s="1"/>
  <c r="E22" i="7"/>
  <c r="H19" i="7"/>
  <c r="E19" i="7"/>
  <c r="H18" i="7"/>
  <c r="E18" i="7"/>
  <c r="K18" i="7"/>
  <c r="H17" i="7"/>
  <c r="E17" i="7"/>
  <c r="K17" i="7" s="1"/>
  <c r="H16" i="7"/>
  <c r="E16" i="7"/>
  <c r="H15" i="7"/>
  <c r="E15" i="7"/>
  <c r="K15" i="7"/>
  <c r="H12" i="7"/>
  <c r="E12" i="7"/>
  <c r="H11" i="7"/>
  <c r="E11" i="7"/>
  <c r="H10" i="7"/>
  <c r="E10" i="7"/>
  <c r="H9" i="7"/>
  <c r="E9" i="7"/>
  <c r="H8" i="7"/>
  <c r="E8" i="7"/>
  <c r="H5" i="7"/>
  <c r="E5" i="7"/>
  <c r="H4" i="7"/>
  <c r="E4" i="7"/>
  <c r="H32" i="6"/>
  <c r="H33" i="6"/>
  <c r="K33" i="6" s="1"/>
  <c r="H34" i="6"/>
  <c r="E32" i="6"/>
  <c r="K32" i="6" s="1"/>
  <c r="E33" i="6"/>
  <c r="E34" i="6"/>
  <c r="K34" i="6" s="1"/>
  <c r="H29" i="6"/>
  <c r="E29" i="6"/>
  <c r="K29" i="6"/>
  <c r="H28" i="6"/>
  <c r="E28" i="6"/>
  <c r="H27" i="6"/>
  <c r="E27" i="6"/>
  <c r="K27" i="6" s="1"/>
  <c r="H26" i="6"/>
  <c r="E26" i="6"/>
  <c r="H25" i="6"/>
  <c r="E25" i="6"/>
  <c r="K25" i="6"/>
  <c r="H22" i="6"/>
  <c r="E22" i="6"/>
  <c r="K22" i="6" s="1"/>
  <c r="H21" i="6"/>
  <c r="E21" i="6"/>
  <c r="K21" i="6"/>
  <c r="H20" i="6"/>
  <c r="E20" i="6"/>
  <c r="K20" i="6" s="1"/>
  <c r="H19" i="6"/>
  <c r="E19" i="6"/>
  <c r="K19" i="6"/>
  <c r="H18" i="6"/>
  <c r="E18" i="6"/>
  <c r="K18" i="6" s="1"/>
  <c r="H15" i="6"/>
  <c r="E15" i="6"/>
  <c r="H14" i="6"/>
  <c r="E14" i="6"/>
  <c r="H13" i="6"/>
  <c r="E13" i="6"/>
  <c r="H12" i="6"/>
  <c r="E12" i="6"/>
  <c r="H11" i="6"/>
  <c r="E11" i="6"/>
  <c r="H8" i="6"/>
  <c r="E8" i="6"/>
  <c r="K8" i="6"/>
  <c r="H7" i="6"/>
  <c r="E7" i="6"/>
  <c r="H6" i="6"/>
  <c r="E6" i="6"/>
  <c r="K6" i="6" s="1"/>
  <c r="H5" i="6"/>
  <c r="E5" i="6"/>
  <c r="H4" i="6"/>
  <c r="E4" i="6"/>
  <c r="K4" i="6"/>
  <c r="K26" i="5"/>
  <c r="H25" i="5"/>
  <c r="H26" i="5"/>
  <c r="H27" i="5"/>
  <c r="H28" i="5"/>
  <c r="H29" i="5"/>
  <c r="E25" i="5"/>
  <c r="K25" i="5" s="1"/>
  <c r="E26" i="5"/>
  <c r="E27" i="5"/>
  <c r="K27" i="5" s="1"/>
  <c r="E28" i="5"/>
  <c r="K28" i="5" s="1"/>
  <c r="E29" i="5"/>
  <c r="K29" i="5" s="1"/>
  <c r="H6" i="4"/>
  <c r="K6" i="4" s="1"/>
  <c r="H7" i="4"/>
  <c r="E6" i="4"/>
  <c r="E7" i="4"/>
  <c r="K7" i="4" s="1"/>
  <c r="K32" i="4"/>
  <c r="K35" i="4"/>
  <c r="H32" i="4"/>
  <c r="H33" i="4"/>
  <c r="H34" i="4"/>
  <c r="H35" i="4"/>
  <c r="H36" i="4"/>
  <c r="E32" i="4"/>
  <c r="E33" i="4"/>
  <c r="K33" i="4" s="1"/>
  <c r="E34" i="4"/>
  <c r="K34" i="4" s="1"/>
  <c r="E35" i="4"/>
  <c r="E36" i="4"/>
  <c r="K36" i="4" s="1"/>
  <c r="H22" i="5"/>
  <c r="E22" i="5"/>
  <c r="H21" i="5"/>
  <c r="E21" i="5"/>
  <c r="K21" i="5"/>
  <c r="H20" i="5"/>
  <c r="E20" i="5"/>
  <c r="H19" i="5"/>
  <c r="E19" i="5"/>
  <c r="H18" i="5"/>
  <c r="E18" i="5"/>
  <c r="H15" i="5"/>
  <c r="E15" i="5"/>
  <c r="H14" i="5"/>
  <c r="E14" i="5"/>
  <c r="H13" i="5"/>
  <c r="E13" i="5"/>
  <c r="H12" i="5"/>
  <c r="E12" i="5"/>
  <c r="H11" i="5"/>
  <c r="E11" i="5"/>
  <c r="H8" i="5"/>
  <c r="E8" i="5"/>
  <c r="H7" i="5"/>
  <c r="E7" i="5"/>
  <c r="H6" i="5"/>
  <c r="E6" i="5"/>
  <c r="H5" i="5"/>
  <c r="E5" i="5"/>
  <c r="H4" i="5"/>
  <c r="E4" i="5"/>
  <c r="H29" i="4"/>
  <c r="E29" i="4"/>
  <c r="H28" i="4"/>
  <c r="E28" i="4"/>
  <c r="K28" i="4" s="1"/>
  <c r="H27" i="4"/>
  <c r="K27" i="4" s="1"/>
  <c r="E27" i="4"/>
  <c r="H26" i="4"/>
  <c r="E26" i="4"/>
  <c r="K26" i="4"/>
  <c r="H25" i="4"/>
  <c r="E25" i="4"/>
  <c r="H22" i="4"/>
  <c r="E22" i="4"/>
  <c r="H21" i="4"/>
  <c r="E21" i="4"/>
  <c r="H20" i="4"/>
  <c r="E20" i="4"/>
  <c r="H19" i="4"/>
  <c r="E19" i="4"/>
  <c r="H18" i="4"/>
  <c r="E18" i="4"/>
  <c r="H15" i="4"/>
  <c r="E15" i="4"/>
  <c r="H14" i="4"/>
  <c r="E14" i="4"/>
  <c r="H13" i="4"/>
  <c r="E13" i="4"/>
  <c r="H12" i="4"/>
  <c r="E12" i="4"/>
  <c r="H11" i="4"/>
  <c r="E11" i="4"/>
  <c r="H8" i="4"/>
  <c r="E8" i="4"/>
  <c r="H5" i="4"/>
  <c r="E5" i="4"/>
  <c r="K5" i="4" s="1"/>
  <c r="H4" i="4"/>
  <c r="E4" i="4"/>
  <c r="H31" i="3"/>
  <c r="E31" i="3"/>
  <c r="K31" i="3" s="1"/>
  <c r="H30" i="3"/>
  <c r="E30" i="3"/>
  <c r="H27" i="3"/>
  <c r="E27" i="3"/>
  <c r="H26" i="3"/>
  <c r="E26" i="3"/>
  <c r="H25" i="3"/>
  <c r="E25" i="3"/>
  <c r="K25" i="3"/>
  <c r="H24" i="3"/>
  <c r="E24" i="3"/>
  <c r="H23" i="3"/>
  <c r="E23" i="3"/>
  <c r="K23" i="3" s="1"/>
  <c r="H20" i="3"/>
  <c r="E20" i="3"/>
  <c r="H19" i="3"/>
  <c r="E19" i="3"/>
  <c r="K19" i="3"/>
  <c r="H18" i="3"/>
  <c r="E18" i="3"/>
  <c r="K18" i="3" s="1"/>
  <c r="H17" i="3"/>
  <c r="E17" i="3"/>
  <c r="H16" i="3"/>
  <c r="E16" i="3"/>
  <c r="K16" i="3" s="1"/>
  <c r="H13" i="3"/>
  <c r="E13" i="3"/>
  <c r="H12" i="3"/>
  <c r="E12" i="3"/>
  <c r="H11" i="3"/>
  <c r="E11" i="3"/>
  <c r="H10" i="3"/>
  <c r="K10" i="3" s="1"/>
  <c r="E10" i="3"/>
  <c r="H9" i="3"/>
  <c r="E9" i="3"/>
  <c r="H6" i="3"/>
  <c r="E6" i="3"/>
  <c r="H5" i="3"/>
  <c r="E5" i="3"/>
  <c r="K5" i="3"/>
  <c r="H4" i="3"/>
  <c r="E4" i="3"/>
  <c r="K4" i="3" s="1"/>
  <c r="H32" i="1"/>
  <c r="K32" i="1" s="1"/>
  <c r="H33" i="1"/>
  <c r="E32" i="1"/>
  <c r="E33" i="1"/>
  <c r="K33" i="1" s="1"/>
  <c r="K34" i="7" l="1"/>
  <c r="K13" i="3"/>
  <c r="K27" i="3"/>
  <c r="K30" i="5"/>
  <c r="K37" i="4"/>
  <c r="K21" i="12"/>
  <c r="K16" i="11"/>
  <c r="K12" i="10"/>
  <c r="K4" i="7"/>
  <c r="K12" i="13"/>
  <c r="K26" i="13"/>
  <c r="K19" i="13"/>
  <c r="K7" i="12"/>
  <c r="K14" i="12"/>
  <c r="K28" i="12"/>
  <c r="K30" i="11"/>
  <c r="K23" i="11"/>
  <c r="K9" i="11"/>
  <c r="K22" i="9"/>
  <c r="K29" i="9"/>
  <c r="K8" i="9"/>
  <c r="K18" i="8"/>
  <c r="K5" i="8"/>
  <c r="K7" i="8"/>
  <c r="K26" i="8"/>
  <c r="K28" i="8"/>
  <c r="K11" i="8"/>
  <c r="K13" i="8"/>
  <c r="K15" i="8"/>
  <c r="K19" i="8"/>
  <c r="K21" i="8"/>
  <c r="K4" i="8"/>
  <c r="K6" i="8"/>
  <c r="K8" i="8"/>
  <c r="K12" i="8"/>
  <c r="K14" i="8"/>
  <c r="K20" i="8"/>
  <c r="K22" i="8"/>
  <c r="K23" i="7"/>
  <c r="K8" i="7"/>
  <c r="K12" i="7"/>
  <c r="K19" i="7"/>
  <c r="K5" i="7"/>
  <c r="K10" i="7"/>
  <c r="K24" i="7"/>
  <c r="K26" i="7"/>
  <c r="K9" i="7"/>
  <c r="K11" i="7"/>
  <c r="K16" i="7"/>
  <c r="K20" i="7" s="1"/>
  <c r="K35" i="6"/>
  <c r="K12" i="6"/>
  <c r="K14" i="6"/>
  <c r="K5" i="6"/>
  <c r="K28" i="6"/>
  <c r="K7" i="6"/>
  <c r="K9" i="6" s="1"/>
  <c r="K26" i="6"/>
  <c r="K11" i="6"/>
  <c r="K13" i="6"/>
  <c r="K15" i="6"/>
  <c r="K23" i="6"/>
  <c r="K12" i="5"/>
  <c r="K14" i="5"/>
  <c r="K11" i="5"/>
  <c r="K15" i="5"/>
  <c r="K22" i="5"/>
  <c r="K4" i="4"/>
  <c r="K20" i="4"/>
  <c r="K22" i="4"/>
  <c r="K11" i="4"/>
  <c r="K13" i="4"/>
  <c r="K19" i="5"/>
  <c r="K4" i="5"/>
  <c r="K18" i="5"/>
  <c r="K20" i="5"/>
  <c r="K5" i="5"/>
  <c r="K7" i="5"/>
  <c r="K6" i="5"/>
  <c r="K8" i="5"/>
  <c r="K13" i="5"/>
  <c r="K19" i="4"/>
  <c r="K12" i="4"/>
  <c r="K18" i="4"/>
  <c r="K8" i="4"/>
  <c r="K15" i="4"/>
  <c r="K25" i="4"/>
  <c r="K30" i="4" s="1"/>
  <c r="K29" i="4"/>
  <c r="K14" i="4"/>
  <c r="K21" i="4"/>
  <c r="K30" i="3"/>
  <c r="K32" i="3" s="1"/>
  <c r="K9" i="3"/>
  <c r="K11" i="3"/>
  <c r="K14" i="3" s="1"/>
  <c r="K12" i="3"/>
  <c r="K20" i="3"/>
  <c r="K6" i="3"/>
  <c r="K7" i="3" s="1"/>
  <c r="K17" i="3"/>
  <c r="K24" i="3"/>
  <c r="K28" i="3" s="1"/>
  <c r="K26" i="3"/>
  <c r="K34" i="1"/>
  <c r="H27" i="1"/>
  <c r="H28" i="1"/>
  <c r="E27" i="1"/>
  <c r="E28" i="1"/>
  <c r="H25" i="1"/>
  <c r="H26" i="1"/>
  <c r="E25" i="1"/>
  <c r="E26" i="1"/>
  <c r="K23" i="5" l="1"/>
  <c r="K30" i="6"/>
  <c r="K16" i="6"/>
  <c r="K16" i="5"/>
  <c r="K9" i="5"/>
  <c r="K9" i="4"/>
  <c r="K21" i="3"/>
  <c r="K23" i="8"/>
  <c r="K30" i="8"/>
  <c r="K27" i="7"/>
  <c r="K6" i="7"/>
  <c r="K16" i="8"/>
  <c r="K9" i="8"/>
  <c r="K13" i="7"/>
  <c r="K16" i="4"/>
  <c r="K23" i="4"/>
  <c r="K28" i="1"/>
  <c r="K27" i="1"/>
  <c r="K26" i="1"/>
  <c r="K25" i="1"/>
  <c r="H19" i="1" l="1"/>
  <c r="H20" i="1"/>
  <c r="H21" i="1"/>
  <c r="H22" i="1"/>
  <c r="H5" i="1"/>
  <c r="H6" i="1"/>
  <c r="H7" i="1"/>
  <c r="H8" i="1"/>
  <c r="H12" i="1"/>
  <c r="H13" i="1"/>
  <c r="H14" i="1"/>
  <c r="H15" i="1"/>
  <c r="E19" i="1"/>
  <c r="E20" i="1"/>
  <c r="E21" i="1"/>
  <c r="E22" i="1"/>
  <c r="E12" i="1"/>
  <c r="E13" i="1"/>
  <c r="E14" i="1"/>
  <c r="E15" i="1"/>
  <c r="E5" i="1"/>
  <c r="E6" i="1"/>
  <c r="E7" i="1"/>
  <c r="E8" i="1"/>
  <c r="E29" i="1" l="1"/>
  <c r="H29" i="1"/>
  <c r="K29" i="1" l="1"/>
  <c r="K30" i="1" s="1"/>
  <c r="H4" i="1" l="1"/>
  <c r="H11" i="1"/>
  <c r="H18" i="1"/>
  <c r="E4" i="1"/>
  <c r="E11" i="1"/>
  <c r="E18" i="1"/>
  <c r="K5" i="1" l="1"/>
  <c r="K15" i="1"/>
  <c r="K11" i="1"/>
  <c r="K22" i="1"/>
  <c r="K20" i="1"/>
  <c r="K8" i="1"/>
  <c r="K4" i="1"/>
  <c r="K19" i="1"/>
  <c r="K13" i="1"/>
  <c r="K18" i="1"/>
  <c r="K12" i="1"/>
  <c r="K6" i="1"/>
  <c r="K21" i="1"/>
  <c r="K14" i="1"/>
  <c r="K7" i="1"/>
  <c r="K23" i="1" l="1"/>
  <c r="K9" i="1"/>
  <c r="K16" i="1"/>
</calcChain>
</file>

<file path=xl/sharedStrings.xml><?xml version="1.0" encoding="utf-8"?>
<sst xmlns="http://schemas.openxmlformats.org/spreadsheetml/2006/main" count="621" uniqueCount="353">
  <si>
    <t>von</t>
  </si>
  <si>
    <t>bis</t>
  </si>
  <si>
    <t>Stunden:</t>
  </si>
  <si>
    <t>Summe</t>
  </si>
  <si>
    <t>Kommentar</t>
  </si>
  <si>
    <t>Homeoffice regulär</t>
  </si>
  <si>
    <t>Quarantäne</t>
  </si>
  <si>
    <t>Quarantäne Familienmitglied</t>
  </si>
  <si>
    <t>Grund</t>
  </si>
  <si>
    <t>Name:</t>
  </si>
  <si>
    <t>von:</t>
  </si>
  <si>
    <t>bis:</t>
  </si>
  <si>
    <t>Montag</t>
  </si>
  <si>
    <t>Dienstag</t>
  </si>
  <si>
    <t>Mittwoch</t>
  </si>
  <si>
    <t>Donnerstag</t>
  </si>
  <si>
    <t>Freitag</t>
  </si>
  <si>
    <t>Tag/e</t>
  </si>
  <si>
    <t>Montag, Dienstag</t>
  </si>
  <si>
    <t>Montag, Mittwoch</t>
  </si>
  <si>
    <t>Montag, Donnerstag</t>
  </si>
  <si>
    <t>Montag, Freitag</t>
  </si>
  <si>
    <t>Dienstag, Mittwoch</t>
  </si>
  <si>
    <t>Dienstag, Donnerstag</t>
  </si>
  <si>
    <t>Dienstag, Freitag</t>
  </si>
  <si>
    <t>Mittwoch, Donnerstag</t>
  </si>
  <si>
    <t>Mittwoch, Freitag</t>
  </si>
  <si>
    <t>Montag, Dienstag, Mittwoch</t>
  </si>
  <si>
    <t>Montag, Dienstag, Donnerstag</t>
  </si>
  <si>
    <t>Montag, Dienstag, Freitag</t>
  </si>
  <si>
    <t>Montag, Mittwoch, Donnerstag</t>
  </si>
  <si>
    <t>Montag, Mittwoch, Freitag</t>
  </si>
  <si>
    <t>Dienstag, Mittwoch, Donnerstag</t>
  </si>
  <si>
    <t>Dienstag, Mittwoch, Freitag</t>
  </si>
  <si>
    <t>Mittwoch, Donnerstag, Freitag</t>
  </si>
  <si>
    <t>Bei Bedarf</t>
  </si>
  <si>
    <t>Home-Office -Bewilligung-Personaldezernat</t>
  </si>
  <si>
    <t>Feiertag</t>
  </si>
  <si>
    <t>Hitzebelastung</t>
  </si>
  <si>
    <t>KW 1</t>
  </si>
  <si>
    <t>Mo, 02.01.2023</t>
  </si>
  <si>
    <t>Di, 03.01.2023</t>
  </si>
  <si>
    <t>Mi, 04.01.2023</t>
  </si>
  <si>
    <t>Do, 05.01.2023</t>
  </si>
  <si>
    <t>Fr, 06.01.2023</t>
  </si>
  <si>
    <t>Mo, 09.01.2023</t>
  </si>
  <si>
    <t>Di, 10.01.2023</t>
  </si>
  <si>
    <t>Mi, 11.01.2023</t>
  </si>
  <si>
    <t>Do, 12.01.2023</t>
  </si>
  <si>
    <t>Fr, 13.01.2023</t>
  </si>
  <si>
    <t>Mo, 16.01.2023</t>
  </si>
  <si>
    <t>Di, 17.01.2023</t>
  </si>
  <si>
    <t>Mi, 18.01.2023</t>
  </si>
  <si>
    <t>Do, 19.01.2023</t>
  </si>
  <si>
    <t>Fr, 20.01.2023</t>
  </si>
  <si>
    <t>Mo, 23.01.2023</t>
  </si>
  <si>
    <t>Di, 24.01.2023</t>
  </si>
  <si>
    <t>Mi, 25.01.2023</t>
  </si>
  <si>
    <t>Do, 26.01.2023</t>
  </si>
  <si>
    <t>Fr, 27.01.2023</t>
  </si>
  <si>
    <t>KW 2</t>
  </si>
  <si>
    <t>KW 3</t>
  </si>
  <si>
    <t>KW 4</t>
  </si>
  <si>
    <t>KW 5</t>
  </si>
  <si>
    <t>Mo, 30.01.2023</t>
  </si>
  <si>
    <t>Di, 31.01.2023</t>
  </si>
  <si>
    <t>KW 6</t>
  </si>
  <si>
    <t>KW 7</t>
  </si>
  <si>
    <t>KW 8</t>
  </si>
  <si>
    <t>KW 9</t>
  </si>
  <si>
    <t>Mi, 01.02.2023</t>
  </si>
  <si>
    <t>Fr, 03.02.2023</t>
  </si>
  <si>
    <t>Do, 02.02.2023</t>
  </si>
  <si>
    <t>Mo, 06.02.2023</t>
  </si>
  <si>
    <t>Di, 07.02.2023</t>
  </si>
  <si>
    <t>Mi, 08.02.2023</t>
  </si>
  <si>
    <t>Do, 09.02.2023</t>
  </si>
  <si>
    <t>Fr, 10.02.2023</t>
  </si>
  <si>
    <t>Mo, 13.02.2023</t>
  </si>
  <si>
    <t>Di, 14.02.2023</t>
  </si>
  <si>
    <t>Mi, 15.02.2023</t>
  </si>
  <si>
    <t>Do, 16.02.2023</t>
  </si>
  <si>
    <t>Fr, 17.02.2023</t>
  </si>
  <si>
    <t>Mo, 20.02.2023</t>
  </si>
  <si>
    <t>Di, 21.02.2023</t>
  </si>
  <si>
    <t>Mi, 22.02.2023</t>
  </si>
  <si>
    <t>Do, 23.02.2023</t>
  </si>
  <si>
    <t>Fr, 24.02.2023</t>
  </si>
  <si>
    <t>Mo, 27.02.2023</t>
  </si>
  <si>
    <t>Di, 28.02.2023</t>
  </si>
  <si>
    <t>KW 10</t>
  </si>
  <si>
    <t>KW 11</t>
  </si>
  <si>
    <t>KW 12</t>
  </si>
  <si>
    <t>KW 13</t>
  </si>
  <si>
    <t>Mi, 01.03.2023</t>
  </si>
  <si>
    <t>Do, 02.03.2023</t>
  </si>
  <si>
    <t>Fr, 03.03.2023</t>
  </si>
  <si>
    <t>Mo, 06.03.2023</t>
  </si>
  <si>
    <t>Di, 07.03.2023</t>
  </si>
  <si>
    <t>Mi, 08.03.2023</t>
  </si>
  <si>
    <t>Do, 09.03.2023</t>
  </si>
  <si>
    <t>Fr, 10.03.2023</t>
  </si>
  <si>
    <t>Mo, 13.03.2023</t>
  </si>
  <si>
    <t>Di, 14.03.2023</t>
  </si>
  <si>
    <t>Mi, 15.03.2023</t>
  </si>
  <si>
    <t>Do, 16.03.2023</t>
  </si>
  <si>
    <t>Fr, 17.03.2023</t>
  </si>
  <si>
    <t>Mo, 20.03.2023</t>
  </si>
  <si>
    <t>Di, 21.03.2023</t>
  </si>
  <si>
    <t>Mi, 22.03.2023</t>
  </si>
  <si>
    <t>KW 14</t>
  </si>
  <si>
    <t>KW 15</t>
  </si>
  <si>
    <t>KW 16</t>
  </si>
  <si>
    <t>KW 17</t>
  </si>
  <si>
    <t>Do, 23.03.2022</t>
  </si>
  <si>
    <t>Fr, 24.03.2022</t>
  </si>
  <si>
    <t>Mo, 27.03.2023</t>
  </si>
  <si>
    <t>Di, 28.03.2023</t>
  </si>
  <si>
    <t>Mi, 29.03.2023</t>
  </si>
  <si>
    <t>Do, 30.03.2023</t>
  </si>
  <si>
    <t>Fr, 31.03.2023</t>
  </si>
  <si>
    <t>Mi, 01.03.2024</t>
  </si>
  <si>
    <t>Do, 02.03.2024</t>
  </si>
  <si>
    <t>Mo, 03.04.2023</t>
  </si>
  <si>
    <t>Di, 04.04.2023</t>
  </si>
  <si>
    <t>Mi, 05.04.2023</t>
  </si>
  <si>
    <t>Do, 06.04.2023</t>
  </si>
  <si>
    <t>Fr, 07.04.2023</t>
  </si>
  <si>
    <t>Mo, 10.04.2023</t>
  </si>
  <si>
    <t>Di, 11.04.2023</t>
  </si>
  <si>
    <t>Mi, 12.04.2023</t>
  </si>
  <si>
    <t>Do, 13.04.2023</t>
  </si>
  <si>
    <t>Fr, 14.04.2023</t>
  </si>
  <si>
    <t>Mo, 17.04.2023</t>
  </si>
  <si>
    <t>Di, 18.04.2023</t>
  </si>
  <si>
    <t>Mi, 19.04.2023</t>
  </si>
  <si>
    <t>Do, 20.04.2023</t>
  </si>
  <si>
    <t>Fr, 21.04.2023</t>
  </si>
  <si>
    <t>Mo, 24.04.2023</t>
  </si>
  <si>
    <t>Di, 25.04.2023</t>
  </si>
  <si>
    <t>Mi, 26.04.2023</t>
  </si>
  <si>
    <t>Do, 27.04.2023</t>
  </si>
  <si>
    <t>Fr, 28.04.2023</t>
  </si>
  <si>
    <t>KW 18</t>
  </si>
  <si>
    <t>KW 19</t>
  </si>
  <si>
    <t>KW 20</t>
  </si>
  <si>
    <t>KW 21</t>
  </si>
  <si>
    <t>Mo, 01.05.2023</t>
  </si>
  <si>
    <t>Di, 02.05.2023</t>
  </si>
  <si>
    <t>Mi, 03.05.2023</t>
  </si>
  <si>
    <t>Do, 04.05.2023</t>
  </si>
  <si>
    <t>Fr, 05.05.2023</t>
  </si>
  <si>
    <t>Mo, 08.05.2023</t>
  </si>
  <si>
    <t>Di, 09.05.2023</t>
  </si>
  <si>
    <t>Mi, 10.05.2023</t>
  </si>
  <si>
    <t>Do, 11.05.2023</t>
  </si>
  <si>
    <t>Fr, 12.05.2023</t>
  </si>
  <si>
    <t>Mo, 15.05.2023</t>
  </si>
  <si>
    <t>Di, 16.05.2023</t>
  </si>
  <si>
    <t>Mi, 17.05.2023</t>
  </si>
  <si>
    <t>Do, 18.05.2023</t>
  </si>
  <si>
    <t>Fr, 19.05.2023</t>
  </si>
  <si>
    <t>Mo, 22.05.2023</t>
  </si>
  <si>
    <t>Di, 23.05.2023</t>
  </si>
  <si>
    <t>Mi, 24.05.2023</t>
  </si>
  <si>
    <t>Do, 25.05.2023</t>
  </si>
  <si>
    <t>Fr, 26.05.2023</t>
  </si>
  <si>
    <t>KW 22</t>
  </si>
  <si>
    <t>Mo, 29.05.2023</t>
  </si>
  <si>
    <t>Di, 30.05.2023</t>
  </si>
  <si>
    <t>Mi, 31.05.2023</t>
  </si>
  <si>
    <t>KW 23</t>
  </si>
  <si>
    <t>KW 24</t>
  </si>
  <si>
    <t>KW 25</t>
  </si>
  <si>
    <t>KW 26</t>
  </si>
  <si>
    <t>Do, 01.06.2023</t>
  </si>
  <si>
    <t>Fr, 02.06.2023</t>
  </si>
  <si>
    <t>Mo, 05.06.2023</t>
  </si>
  <si>
    <t>Di, 06.06.2023</t>
  </si>
  <si>
    <t>Mi, 07.06.2023</t>
  </si>
  <si>
    <t>Do, 08.06.2023</t>
  </si>
  <si>
    <t>Fr, 09.06.2023</t>
  </si>
  <si>
    <t>Mo, 12.06.2023</t>
  </si>
  <si>
    <t>Di, 13.06.2023</t>
  </si>
  <si>
    <t>Mi, 14.06.2023</t>
  </si>
  <si>
    <t>Do, 15.06.2023</t>
  </si>
  <si>
    <t>Fr, 16.06.2023</t>
  </si>
  <si>
    <t>Mo, 19.06.2023</t>
  </si>
  <si>
    <t>Di, 20.06.2023</t>
  </si>
  <si>
    <t>Mi, 21.06.2023</t>
  </si>
  <si>
    <t>Do, 22.06.2023</t>
  </si>
  <si>
    <t>Fr, 23.06.2023</t>
  </si>
  <si>
    <t>Mo, 26.06.2023</t>
  </si>
  <si>
    <t>Di, 27.06.2023</t>
  </si>
  <si>
    <t>Mi, 28.06.2023</t>
  </si>
  <si>
    <t>Do, 29.06.2023</t>
  </si>
  <si>
    <t>Fr, 30.06.2023</t>
  </si>
  <si>
    <t>KW 27</t>
  </si>
  <si>
    <t>KW 28</t>
  </si>
  <si>
    <t>KW 29</t>
  </si>
  <si>
    <t>KW 30</t>
  </si>
  <si>
    <t>Mo, 03.07.2023</t>
  </si>
  <si>
    <t>Di, 04.07.2023</t>
  </si>
  <si>
    <t>Mi, 05.07.2023</t>
  </si>
  <si>
    <t>Do, 06.07.2023</t>
  </si>
  <si>
    <t>Fr, 07.07.2023</t>
  </si>
  <si>
    <t>Mo, 10.07.2023</t>
  </si>
  <si>
    <t>Di, 11.07.2023</t>
  </si>
  <si>
    <t>Mi, 12.07.2023</t>
  </si>
  <si>
    <t>Do, 13.07.2023</t>
  </si>
  <si>
    <t>Fr, 14.07.2023</t>
  </si>
  <si>
    <t>Mo, 17.07.2023</t>
  </si>
  <si>
    <t>Di, 18.07.2023</t>
  </si>
  <si>
    <t>Mi, 19.07.2023</t>
  </si>
  <si>
    <t>Do, 20.07.2023</t>
  </si>
  <si>
    <t>Fr, 21.07.2023</t>
  </si>
  <si>
    <t>Mo, 24.07.2023</t>
  </si>
  <si>
    <t>Di, 25.07.2023</t>
  </si>
  <si>
    <t>Mi, 26.07.2023</t>
  </si>
  <si>
    <t>Do, 27.07.2023</t>
  </si>
  <si>
    <t>Fr, 28.07.2023</t>
  </si>
  <si>
    <t>KW 31</t>
  </si>
  <si>
    <t>Mo, 31.07.2023</t>
  </si>
  <si>
    <t>KW 32</t>
  </si>
  <si>
    <t>KW 33</t>
  </si>
  <si>
    <t>KW 34</t>
  </si>
  <si>
    <t>KW 35</t>
  </si>
  <si>
    <t>Di, 01.08.2023</t>
  </si>
  <si>
    <t>Mi, 02.08.2023</t>
  </si>
  <si>
    <t>Do, 03.08.2023</t>
  </si>
  <si>
    <t>Fr, 04.08.2023</t>
  </si>
  <si>
    <t>Mo, 07.08.2023</t>
  </si>
  <si>
    <t>Di, 08.08.2023</t>
  </si>
  <si>
    <t>Mi, 09.08.2023</t>
  </si>
  <si>
    <t>Do, 10.08.2023</t>
  </si>
  <si>
    <t>Fr, 11.08.2023</t>
  </si>
  <si>
    <t>Mo, 14.08.2023</t>
  </si>
  <si>
    <t>Di, 15.08.2023</t>
  </si>
  <si>
    <t>Mi, 16.08.2023</t>
  </si>
  <si>
    <t>Do, 17.08.2023</t>
  </si>
  <si>
    <t>Fr, 18.08.2023</t>
  </si>
  <si>
    <t>Mo, 21.08.2023</t>
  </si>
  <si>
    <t>Di, 22.08.2023</t>
  </si>
  <si>
    <t>Mi, 23.08.2023</t>
  </si>
  <si>
    <t>Do, 24.08.2023</t>
  </si>
  <si>
    <t>Fr, 25.08.2023</t>
  </si>
  <si>
    <t>Mo, 28.08.2023</t>
  </si>
  <si>
    <t>Di, 29.08.2023</t>
  </si>
  <si>
    <t>Mi, 30.08.2023</t>
  </si>
  <si>
    <t>Do, 31.08.2023</t>
  </si>
  <si>
    <t>KW 36</t>
  </si>
  <si>
    <t>KW 37</t>
  </si>
  <si>
    <t>KW 38</t>
  </si>
  <si>
    <t>KW 39</t>
  </si>
  <si>
    <t>Fr, 01.09.2023</t>
  </si>
  <si>
    <t>Mo, 04.09.2023</t>
  </si>
  <si>
    <t>Di, 05.09.2023</t>
  </si>
  <si>
    <t>Mi, 06.09.2023</t>
  </si>
  <si>
    <t>Do, 07.09.2023</t>
  </si>
  <si>
    <t>Fr, 08.09.2023</t>
  </si>
  <si>
    <t>Mo, 11.09.2023</t>
  </si>
  <si>
    <t>Di, 12.09.2023</t>
  </si>
  <si>
    <t>Mi, 13.09.2023</t>
  </si>
  <si>
    <t>Do, 14.09.2023</t>
  </si>
  <si>
    <t>Fr, 15.09.2023</t>
  </si>
  <si>
    <t>Mo, 18.09.2023</t>
  </si>
  <si>
    <t>Di, 19.09.2023</t>
  </si>
  <si>
    <t>Mi, 20.09.2023</t>
  </si>
  <si>
    <t>Do, 21.09.2023</t>
  </si>
  <si>
    <t>Fr, 22.09.2023</t>
  </si>
  <si>
    <t>Mo, 25.09.2023</t>
  </si>
  <si>
    <t>Di, 26.09.2023</t>
  </si>
  <si>
    <t>Mi, 27.09.2023</t>
  </si>
  <si>
    <t>Do, 28.09.2023</t>
  </si>
  <si>
    <t>Fr, 29.09.2023</t>
  </si>
  <si>
    <t>KW 40</t>
  </si>
  <si>
    <t>KW 41</t>
  </si>
  <si>
    <t>KW 42</t>
  </si>
  <si>
    <t>KW 43</t>
  </si>
  <si>
    <t>Mo, 02.10.2023</t>
  </si>
  <si>
    <t>Di, 03.10.2023</t>
  </si>
  <si>
    <t>Mi, 04.10.2023</t>
  </si>
  <si>
    <t>Do, 05.10.2023</t>
  </si>
  <si>
    <t>Fr, 06.10.2023</t>
  </si>
  <si>
    <t>Mo, 09.10.2023</t>
  </si>
  <si>
    <t>Di, 10.10.2023</t>
  </si>
  <si>
    <t>Mi, 11.10.2023</t>
  </si>
  <si>
    <t>Do, 12.10.2023</t>
  </si>
  <si>
    <t>Fr, 13.10.2023</t>
  </si>
  <si>
    <t>Mo, 16.10.2023</t>
  </si>
  <si>
    <t>Di, 17.10.2023</t>
  </si>
  <si>
    <t>Mi, 18.10.2023</t>
  </si>
  <si>
    <t>Do, 19.10.2023</t>
  </si>
  <si>
    <t>Fr, 20.10.2023</t>
  </si>
  <si>
    <t>KW 44</t>
  </si>
  <si>
    <t>Mo, 23.10.2023</t>
  </si>
  <si>
    <t>Di, 24.10.2023</t>
  </si>
  <si>
    <t>Mi, 25.10.2023</t>
  </si>
  <si>
    <t>Do, 26.10.2023</t>
  </si>
  <si>
    <t>Fr, 27.10.2023</t>
  </si>
  <si>
    <t>Mo, 30.10.2023</t>
  </si>
  <si>
    <t>Di, 31.10.2023</t>
  </si>
  <si>
    <t>KW 45</t>
  </si>
  <si>
    <t>KW 46</t>
  </si>
  <si>
    <t>KW 47</t>
  </si>
  <si>
    <t>KW 48</t>
  </si>
  <si>
    <t>Mi, 01.11.2023</t>
  </si>
  <si>
    <t>Do, 02.11.2023</t>
  </si>
  <si>
    <t>Fr, 03.11.2023</t>
  </si>
  <si>
    <t>Mo, 06.11.2023</t>
  </si>
  <si>
    <t>Di, 07.11.2023</t>
  </si>
  <si>
    <t>Mi, 08.11.2023</t>
  </si>
  <si>
    <t>Do, 09.11.2023</t>
  </si>
  <si>
    <t>Fr, 10.11.2023</t>
  </si>
  <si>
    <t>Mo, 13.11.2023</t>
  </si>
  <si>
    <t>Di, 14.11.2023</t>
  </si>
  <si>
    <t>Mi, 15.11.2023</t>
  </si>
  <si>
    <t>Do, 16.11.2023</t>
  </si>
  <si>
    <t>Fr, 17.11.2023</t>
  </si>
  <si>
    <t>Mo, 20.11.2023</t>
  </si>
  <si>
    <t>Di, 21.11.2023</t>
  </si>
  <si>
    <t>KW 49</t>
  </si>
  <si>
    <t>KW 50</t>
  </si>
  <si>
    <t>KW 51</t>
  </si>
  <si>
    <t>KW 52</t>
  </si>
  <si>
    <t>Mi, 22.11.2023</t>
  </si>
  <si>
    <t>Do, 23.11.2023</t>
  </si>
  <si>
    <t>Fr, 24.11.2023</t>
  </si>
  <si>
    <t>Mo, 27.11.2023</t>
  </si>
  <si>
    <t>Di, 28.11.2023</t>
  </si>
  <si>
    <t>Mi, 29.11.2023</t>
  </si>
  <si>
    <t>Do, 30.11.2023</t>
  </si>
  <si>
    <t>Fr, 01.12.2023</t>
  </si>
  <si>
    <t>Mo, 04.12.2023</t>
  </si>
  <si>
    <t>Di, 05.12.2023</t>
  </si>
  <si>
    <t>Mi, 06.12.2023</t>
  </si>
  <si>
    <t>Do, 07.12.2023</t>
  </si>
  <si>
    <t>Fr, 08.12.2023</t>
  </si>
  <si>
    <t>Mo, 11.12.2023</t>
  </si>
  <si>
    <t>Di, 12.12.2023</t>
  </si>
  <si>
    <t>Mi, 13.12.2023</t>
  </si>
  <si>
    <t>Do, 14.12.2023</t>
  </si>
  <si>
    <t>Fr, 15.12.2023</t>
  </si>
  <si>
    <t>Mo, 18.12.2023</t>
  </si>
  <si>
    <t>Di, 19.12.2023</t>
  </si>
  <si>
    <t>Mi, 20.12.2023</t>
  </si>
  <si>
    <t>Do, 21.12.2023</t>
  </si>
  <si>
    <t>Fr, 22.12.2023</t>
  </si>
  <si>
    <t>Mo, 25.12.2023</t>
  </si>
  <si>
    <t>Di, 26.12.2023</t>
  </si>
  <si>
    <t>Mi, 27.12.2023</t>
  </si>
  <si>
    <t>Do, 28.12.2023</t>
  </si>
  <si>
    <t>Fr, 29.12.2023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</si>
</sst>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0" fillId="0" borderId="5" xfId="0" applyBorder="1"/>
    <xf numFmtId="0" fontId="1" fillId="2" borderId="4" xfId="0" applyFont="1" applyFill="1" applyBorder="1"/>
    <xf numFmtId="0" fontId="0" fillId="0" borderId="4" xfId="0" applyBorder="1"/>
    <xf numFmtId="20" fontId="0" fillId="3" borderId="0" xfId="0" applyNumberFormat="1" applyFill="1" applyBorder="1"/>
    <xf numFmtId="20" fontId="0" fillId="0" borderId="0" xfId="0" applyNumberFormat="1" applyBorder="1"/>
    <xf numFmtId="20" fontId="0" fillId="2" borderId="0" xfId="0" applyNumberFormat="1" applyFill="1" applyBorder="1"/>
    <xf numFmtId="0" fontId="0" fillId="2" borderId="0" xfId="0" applyFill="1" applyBorder="1"/>
    <xf numFmtId="0" fontId="0" fillId="0" borderId="6" xfId="0" applyBorder="1"/>
    <xf numFmtId="20" fontId="0" fillId="3" borderId="7" xfId="0" applyNumberFormat="1" applyFill="1" applyBorder="1"/>
    <xf numFmtId="0" fontId="0" fillId="0" borderId="7" xfId="0" applyBorder="1"/>
    <xf numFmtId="0" fontId="0" fillId="3" borderId="7" xfId="0" applyFill="1" applyBorder="1"/>
    <xf numFmtId="20" fontId="0" fillId="0" borderId="7" xfId="0" applyNumberFormat="1" applyBorder="1"/>
    <xf numFmtId="0" fontId="0" fillId="0" borderId="8" xfId="0" applyBorder="1"/>
    <xf numFmtId="0" fontId="1" fillId="0" borderId="12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0" fontId="0" fillId="2" borderId="2" xfId="0" applyNumberFormat="1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14" fontId="0" fillId="0" borderId="12" xfId="0" applyNumberFormat="1" applyBorder="1"/>
    <xf numFmtId="0" fontId="1" fillId="0" borderId="13" xfId="0" applyFont="1" applyFill="1" applyBorder="1"/>
    <xf numFmtId="0" fontId="2" fillId="0" borderId="9" xfId="0" applyFont="1" applyBorder="1" applyAlignment="1">
      <alignment vertical="center"/>
    </xf>
    <xf numFmtId="0" fontId="3" fillId="0" borderId="12" xfId="0" applyFont="1" applyBorder="1" applyAlignment="1">
      <alignment wrapText="1"/>
    </xf>
    <xf numFmtId="0" fontId="0" fillId="0" borderId="0" xfId="0" applyFill="1" applyBorder="1"/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workbookViewId="0">
      <selection activeCell="C14" sqref="C14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39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40</v>
      </c>
      <c r="B4" s="5" t="str">
        <f>IF(OR(C4="",D4=""),"",IF(C4&lt;=D4,SUM(+D4,-C4,),"24:00"-C4+D4))</f>
        <v/>
      </c>
      <c r="C4" s="6"/>
      <c r="D4" s="6"/>
      <c r="E4" s="5" t="str">
        <f t="shared" ref="E4:E22" si="0">IF(OR(F4="",G4=""),"",IF(F4&lt;=G4,SUM(+G4,-F4,),"24:00"-F4+G4))</f>
        <v/>
      </c>
      <c r="F4" s="6"/>
      <c r="G4" s="6"/>
      <c r="H4" s="5" t="str">
        <f t="shared" ref="H4:H22" si="1">IF(OR(I4="",J4=""),"",IF(I4&lt;=J4,SUM(+J4,-I4,),"24:00"-I4+J4))</f>
        <v/>
      </c>
      <c r="I4" s="6"/>
      <c r="J4" s="6"/>
      <c r="K4" s="6">
        <f t="shared" ref="K4:K22" si="2">SUM(B4,E4,H4)</f>
        <v>0</v>
      </c>
      <c r="L4" s="1"/>
      <c r="M4" s="2"/>
    </row>
    <row r="5" spans="1:13" x14ac:dyDescent="0.25">
      <c r="A5" s="4" t="s">
        <v>41</v>
      </c>
      <c r="B5" s="5" t="str">
        <f t="shared" ref="B5:B9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42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43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4" t="s">
        <v>44</v>
      </c>
      <c r="B8" s="5" t="str">
        <f t="shared" si="3"/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 t="s">
        <v>37</v>
      </c>
    </row>
    <row r="9" spans="1:13" x14ac:dyDescent="0.25">
      <c r="A9" s="9" t="s">
        <v>3</v>
      </c>
      <c r="B9" s="5" t="str">
        <f t="shared" si="3"/>
        <v/>
      </c>
      <c r="C9" s="11"/>
      <c r="D9" s="11"/>
      <c r="E9" s="10"/>
      <c r="F9" s="11"/>
      <c r="G9" s="11"/>
      <c r="H9" s="12"/>
      <c r="I9" s="11"/>
      <c r="J9" s="11"/>
      <c r="K9" s="13">
        <f>SUM(K4:K8)</f>
        <v>0</v>
      </c>
      <c r="L9" s="11"/>
      <c r="M9" s="14"/>
    </row>
    <row r="10" spans="1:13" x14ac:dyDescent="0.25">
      <c r="A10" s="16" t="s">
        <v>60</v>
      </c>
      <c r="B10" s="19"/>
      <c r="C10" s="20"/>
      <c r="D10" s="20"/>
      <c r="E10" s="19"/>
      <c r="F10" s="20"/>
      <c r="G10" s="20"/>
      <c r="H10" s="20"/>
      <c r="I10" s="20"/>
      <c r="J10" s="20"/>
      <c r="K10" s="19"/>
      <c r="L10" s="21"/>
      <c r="M10" s="22"/>
    </row>
    <row r="11" spans="1:13" x14ac:dyDescent="0.25">
      <c r="A11" s="4" t="s">
        <v>45</v>
      </c>
      <c r="B11" s="5" t="str">
        <f>IF(OR(C11="",D11=""),"",IF(C11&lt;=D11,SUM(+D11,-C11,),"24:00"-C11+D11))</f>
        <v/>
      </c>
      <c r="C11" s="6"/>
      <c r="D11" s="6"/>
      <c r="E11" s="5" t="str">
        <f t="shared" si="0"/>
        <v/>
      </c>
      <c r="F11" s="6"/>
      <c r="G11" s="6"/>
      <c r="H11" s="5" t="str">
        <f t="shared" si="1"/>
        <v/>
      </c>
      <c r="I11" s="6"/>
      <c r="J11" s="6"/>
      <c r="K11" s="6">
        <f t="shared" si="2"/>
        <v>0</v>
      </c>
      <c r="L11" s="1"/>
      <c r="M11" s="2"/>
    </row>
    <row r="12" spans="1:13" x14ac:dyDescent="0.25">
      <c r="A12" s="4" t="s">
        <v>46</v>
      </c>
      <c r="B12" s="5" t="str">
        <f t="shared" ref="B12:B16" si="4">IF(OR(C12="",D12=""),"",IF(C12&lt;=D12,SUM(+D12,-C12,),"24:00"-C12+D12))</f>
        <v/>
      </c>
      <c r="C12" s="6"/>
      <c r="D12" s="6"/>
      <c r="E12" s="5" t="str">
        <f t="shared" si="0"/>
        <v/>
      </c>
      <c r="F12" s="6"/>
      <c r="G12" s="6"/>
      <c r="H12" s="5" t="str">
        <f t="shared" si="1"/>
        <v/>
      </c>
      <c r="I12" s="6"/>
      <c r="J12" s="6"/>
      <c r="K12" s="6">
        <f t="shared" si="2"/>
        <v>0</v>
      </c>
      <c r="L12" s="1"/>
      <c r="M12" s="2"/>
    </row>
    <row r="13" spans="1:13" x14ac:dyDescent="0.25">
      <c r="A13" s="4" t="s">
        <v>47</v>
      </c>
      <c r="B13" s="5">
        <f t="shared" si="4"/>
        <v>0.38541666666666669</v>
      </c>
      <c r="C13" s="6">
        <v>0.36458333333333331</v>
      </c>
      <c r="D13" s="6">
        <v>0.75</v>
      </c>
      <c r="E13" s="5" t="str">
        <f t="shared" si="0"/>
        <v/>
      </c>
      <c r="F13" s="6"/>
      <c r="G13" s="6"/>
      <c r="H13" s="5" t="str">
        <f t="shared" si="1"/>
        <v/>
      </c>
      <c r="I13" s="6"/>
      <c r="J13" s="6"/>
      <c r="K13" s="6">
        <f t="shared" si="2"/>
        <v>0.38541666666666669</v>
      </c>
      <c r="L13" s="1"/>
      <c r="M13" s="2"/>
    </row>
    <row r="14" spans="1:13" x14ac:dyDescent="0.25">
      <c r="A14" s="4" t="s">
        <v>48</v>
      </c>
      <c r="B14" s="5" t="str">
        <f t="shared" si="4"/>
        <v/>
      </c>
      <c r="C14" s="6"/>
      <c r="D14" s="6"/>
      <c r="E14" s="5" t="str">
        <f t="shared" si="0"/>
        <v/>
      </c>
      <c r="F14" s="6"/>
      <c r="G14" s="6"/>
      <c r="H14" s="5" t="str">
        <f t="shared" si="1"/>
        <v/>
      </c>
      <c r="I14" s="6"/>
      <c r="J14" s="6"/>
      <c r="K14" s="6">
        <f t="shared" si="2"/>
        <v>0</v>
      </c>
      <c r="L14" s="1"/>
      <c r="M14" s="2"/>
    </row>
    <row r="15" spans="1:13" x14ac:dyDescent="0.25">
      <c r="A15" s="4" t="s">
        <v>49</v>
      </c>
      <c r="B15" s="5" t="str">
        <f t="shared" si="4"/>
        <v/>
      </c>
      <c r="C15" s="6"/>
      <c r="D15" s="6"/>
      <c r="E15" s="5" t="str">
        <f t="shared" si="0"/>
        <v/>
      </c>
      <c r="F15" s="6"/>
      <c r="G15" s="6"/>
      <c r="H15" s="5" t="str">
        <f t="shared" si="1"/>
        <v/>
      </c>
      <c r="I15" s="6"/>
      <c r="J15" s="6"/>
      <c r="K15" s="6">
        <f t="shared" si="2"/>
        <v>0</v>
      </c>
      <c r="L15" s="1"/>
      <c r="M15" s="2"/>
    </row>
    <row r="16" spans="1:13" x14ac:dyDescent="0.25">
      <c r="A16" s="9" t="s">
        <v>3</v>
      </c>
      <c r="B16" s="5" t="str">
        <f t="shared" si="4"/>
        <v/>
      </c>
      <c r="C16" s="11"/>
      <c r="D16" s="11"/>
      <c r="E16" s="10"/>
      <c r="F16" s="11"/>
      <c r="G16" s="11"/>
      <c r="H16" s="12"/>
      <c r="I16" s="11"/>
      <c r="J16" s="11"/>
      <c r="K16" s="13">
        <f>SUM(K11:K15)</f>
        <v>0.38541666666666669</v>
      </c>
      <c r="L16" s="11"/>
      <c r="M16" s="14"/>
    </row>
    <row r="17" spans="1:13" x14ac:dyDescent="0.25">
      <c r="A17" s="16" t="s">
        <v>61</v>
      </c>
      <c r="B17" s="19"/>
      <c r="C17" s="20"/>
      <c r="D17" s="20"/>
      <c r="E17" s="19"/>
      <c r="F17" s="20"/>
      <c r="G17" s="20"/>
      <c r="H17" s="20"/>
      <c r="I17" s="20"/>
      <c r="J17" s="20"/>
      <c r="K17" s="19"/>
      <c r="L17" s="21"/>
      <c r="M17" s="22"/>
    </row>
    <row r="18" spans="1:13" x14ac:dyDescent="0.25">
      <c r="A18" s="4" t="s">
        <v>50</v>
      </c>
      <c r="B18" s="5" t="str">
        <f t="shared" ref="B18:B34" si="5">IF(OR(C18="",D18=""),"",IF(C18&lt;=D18,SUM(+D18,-C18,),"24:00"-C18+D18))</f>
        <v/>
      </c>
      <c r="C18" s="6"/>
      <c r="D18" s="6"/>
      <c r="E18" s="5" t="str">
        <f t="shared" si="0"/>
        <v/>
      </c>
      <c r="F18" s="6"/>
      <c r="G18" s="6"/>
      <c r="H18" s="5" t="str">
        <f t="shared" si="1"/>
        <v/>
      </c>
      <c r="I18" s="6"/>
      <c r="J18" s="6"/>
      <c r="K18" s="6">
        <f t="shared" si="2"/>
        <v>0</v>
      </c>
      <c r="L18" s="1"/>
      <c r="M18" s="2"/>
    </row>
    <row r="19" spans="1:13" x14ac:dyDescent="0.25">
      <c r="A19" s="4" t="s">
        <v>51</v>
      </c>
      <c r="B19" s="5" t="str">
        <f t="shared" si="5"/>
        <v/>
      </c>
      <c r="C19" s="6"/>
      <c r="D19" s="6"/>
      <c r="E19" s="5" t="str">
        <f t="shared" si="0"/>
        <v/>
      </c>
      <c r="F19" s="6"/>
      <c r="G19" s="6"/>
      <c r="H19" s="5" t="str">
        <f t="shared" si="1"/>
        <v/>
      </c>
      <c r="I19" s="6"/>
      <c r="J19" s="6"/>
      <c r="K19" s="6">
        <f t="shared" si="2"/>
        <v>0</v>
      </c>
      <c r="L19" s="1"/>
      <c r="M19" s="2"/>
    </row>
    <row r="20" spans="1:13" x14ac:dyDescent="0.25">
      <c r="A20" s="4" t="s">
        <v>52</v>
      </c>
      <c r="B20" s="5" t="str">
        <f t="shared" si="5"/>
        <v/>
      </c>
      <c r="C20" s="6"/>
      <c r="D20" s="6"/>
      <c r="E20" s="5" t="str">
        <f t="shared" si="0"/>
        <v/>
      </c>
      <c r="F20" s="6"/>
      <c r="G20" s="6"/>
      <c r="H20" s="5" t="str">
        <f t="shared" si="1"/>
        <v/>
      </c>
      <c r="I20" s="6"/>
      <c r="J20" s="6"/>
      <c r="K20" s="6">
        <f t="shared" si="2"/>
        <v>0</v>
      </c>
      <c r="L20" s="1"/>
      <c r="M20" s="2"/>
    </row>
    <row r="21" spans="1:13" x14ac:dyDescent="0.25">
      <c r="A21" s="4" t="s">
        <v>53</v>
      </c>
      <c r="B21" s="5" t="str">
        <f t="shared" si="5"/>
        <v/>
      </c>
      <c r="C21" s="6"/>
      <c r="D21" s="6"/>
      <c r="E21" s="5" t="str">
        <f t="shared" si="0"/>
        <v/>
      </c>
      <c r="F21" s="6"/>
      <c r="G21" s="6"/>
      <c r="H21" s="5" t="str">
        <f t="shared" si="1"/>
        <v/>
      </c>
      <c r="I21" s="6"/>
      <c r="J21" s="6"/>
      <c r="K21" s="6">
        <f t="shared" si="2"/>
        <v>0</v>
      </c>
      <c r="L21" s="1"/>
      <c r="M21" s="2"/>
    </row>
    <row r="22" spans="1:13" x14ac:dyDescent="0.25">
      <c r="A22" s="4" t="s">
        <v>54</v>
      </c>
      <c r="B22" s="5" t="str">
        <f t="shared" si="5"/>
        <v/>
      </c>
      <c r="C22" s="6"/>
      <c r="D22" s="6"/>
      <c r="E22" s="5" t="str">
        <f t="shared" si="0"/>
        <v/>
      </c>
      <c r="F22" s="6"/>
      <c r="G22" s="6"/>
      <c r="H22" s="5" t="str">
        <f t="shared" si="1"/>
        <v/>
      </c>
      <c r="I22" s="6"/>
      <c r="J22" s="6"/>
      <c r="K22" s="6">
        <f t="shared" si="2"/>
        <v>0</v>
      </c>
      <c r="L22" s="1"/>
      <c r="M22" s="2"/>
    </row>
    <row r="23" spans="1:13" x14ac:dyDescent="0.25">
      <c r="A23" s="9" t="s">
        <v>3</v>
      </c>
      <c r="B23" s="5" t="str">
        <f t="shared" si="5"/>
        <v/>
      </c>
      <c r="C23" s="11"/>
      <c r="D23" s="11"/>
      <c r="E23" s="10"/>
      <c r="F23" s="11"/>
      <c r="G23" s="11"/>
      <c r="H23" s="12"/>
      <c r="I23" s="11"/>
      <c r="J23" s="11"/>
      <c r="K23" s="13">
        <f>SUM(K18:K22)</f>
        <v>0</v>
      </c>
      <c r="L23" s="11"/>
      <c r="M23" s="14"/>
    </row>
    <row r="24" spans="1:13" x14ac:dyDescent="0.25">
      <c r="A24" s="3" t="s">
        <v>62</v>
      </c>
      <c r="B24" s="19"/>
      <c r="C24" s="8"/>
      <c r="D24" s="8"/>
      <c r="E24" s="7"/>
      <c r="F24" s="8"/>
      <c r="G24" s="8"/>
      <c r="H24" s="8"/>
      <c r="I24" s="8"/>
      <c r="J24" s="8"/>
      <c r="K24" s="7"/>
      <c r="L24" s="1"/>
      <c r="M24" s="2"/>
    </row>
    <row r="25" spans="1:13" x14ac:dyDescent="0.25">
      <c r="A25" s="4" t="s">
        <v>55</v>
      </c>
      <c r="B25" s="5" t="str">
        <f t="shared" ref="B25" si="6">IF(OR(C25="",D25=""),"",IF(C25&lt;=D25,SUM(+D25,-C25,),"24:00"-C25+D25))</f>
        <v/>
      </c>
      <c r="C25" s="6"/>
      <c r="D25" s="6"/>
      <c r="E25" s="5" t="str">
        <f t="shared" ref="E25:E29" si="7">IF(OR(F25="",G25=""),"",IF(F25&lt;=G25,SUM(+G25,-F25,),"24:00"-F25+G25))</f>
        <v/>
      </c>
      <c r="F25" s="6"/>
      <c r="G25" s="6"/>
      <c r="H25" s="5" t="str">
        <f t="shared" ref="H25:H29" si="8">IF(OR(I25="",J25=""),"",IF(I25&lt;=J25,SUM(+J25,-I25,),"24:00"-I25+J25))</f>
        <v/>
      </c>
      <c r="I25" s="6"/>
      <c r="J25" s="6"/>
      <c r="K25" s="6">
        <f t="shared" ref="K25:K29" si="9">SUM(B25,E25,H25)</f>
        <v>0</v>
      </c>
      <c r="L25" s="1"/>
      <c r="M25" s="2"/>
    </row>
    <row r="26" spans="1:13" x14ac:dyDescent="0.25">
      <c r="A26" s="4" t="s">
        <v>56</v>
      </c>
      <c r="B26" s="5" t="str">
        <f t="shared" si="5"/>
        <v/>
      </c>
      <c r="C26" s="6"/>
      <c r="D26" s="6"/>
      <c r="E26" s="5" t="str">
        <f t="shared" si="7"/>
        <v/>
      </c>
      <c r="F26" s="6"/>
      <c r="G26" s="6"/>
      <c r="H26" s="5" t="str">
        <f t="shared" si="8"/>
        <v/>
      </c>
      <c r="I26" s="6"/>
      <c r="J26" s="6"/>
      <c r="K26" s="6">
        <f t="shared" si="9"/>
        <v>0</v>
      </c>
      <c r="L26" s="1"/>
      <c r="M26" s="2"/>
    </row>
    <row r="27" spans="1:13" x14ac:dyDescent="0.25">
      <c r="A27" s="4" t="s">
        <v>57</v>
      </c>
      <c r="B27" s="5" t="str">
        <f t="shared" si="5"/>
        <v/>
      </c>
      <c r="C27" s="6"/>
      <c r="D27" s="6"/>
      <c r="E27" s="5" t="str">
        <f t="shared" si="7"/>
        <v/>
      </c>
      <c r="F27" s="6"/>
      <c r="G27" s="6"/>
      <c r="H27" s="5" t="str">
        <f t="shared" si="8"/>
        <v/>
      </c>
      <c r="I27" s="6"/>
      <c r="J27" s="6"/>
      <c r="K27" s="6">
        <f t="shared" si="9"/>
        <v>0</v>
      </c>
      <c r="L27" s="1"/>
      <c r="M27" s="2"/>
    </row>
    <row r="28" spans="1:13" x14ac:dyDescent="0.25">
      <c r="A28" s="4" t="s">
        <v>58</v>
      </c>
      <c r="B28" s="5" t="str">
        <f t="shared" si="5"/>
        <v/>
      </c>
      <c r="C28" s="6"/>
      <c r="D28" s="6"/>
      <c r="E28" s="5" t="str">
        <f t="shared" si="7"/>
        <v/>
      </c>
      <c r="F28" s="6"/>
      <c r="G28" s="6"/>
      <c r="H28" s="5" t="str">
        <f t="shared" si="8"/>
        <v/>
      </c>
      <c r="I28" s="6"/>
      <c r="J28" s="6"/>
      <c r="K28" s="6">
        <f t="shared" si="9"/>
        <v>0</v>
      </c>
      <c r="L28" s="1"/>
      <c r="M28" s="2"/>
    </row>
    <row r="29" spans="1:13" x14ac:dyDescent="0.25">
      <c r="A29" s="4" t="s">
        <v>59</v>
      </c>
      <c r="B29" s="5" t="str">
        <f t="shared" si="5"/>
        <v/>
      </c>
      <c r="C29" s="6"/>
      <c r="D29" s="6"/>
      <c r="E29" s="5" t="str">
        <f t="shared" si="7"/>
        <v/>
      </c>
      <c r="F29" s="6"/>
      <c r="G29" s="6"/>
      <c r="H29" s="5" t="str">
        <f t="shared" si="8"/>
        <v/>
      </c>
      <c r="I29" s="6"/>
      <c r="J29" s="6"/>
      <c r="K29" s="6">
        <f t="shared" si="9"/>
        <v>0</v>
      </c>
      <c r="L29" s="1"/>
      <c r="M29" s="2"/>
    </row>
    <row r="30" spans="1:13" x14ac:dyDescent="0.25">
      <c r="A30" s="9" t="s">
        <v>3</v>
      </c>
      <c r="B30" s="5" t="str">
        <f t="shared" si="5"/>
        <v/>
      </c>
      <c r="C30" s="11"/>
      <c r="D30" s="11"/>
      <c r="E30" s="10"/>
      <c r="F30" s="11"/>
      <c r="G30" s="11"/>
      <c r="H30" s="12"/>
      <c r="I30" s="11"/>
      <c r="J30" s="11"/>
      <c r="K30" s="13">
        <f>SUM(K25:K29)</f>
        <v>0</v>
      </c>
      <c r="L30" s="11"/>
      <c r="M30" s="14"/>
    </row>
    <row r="31" spans="1:13" x14ac:dyDescent="0.25">
      <c r="A31" s="3" t="s">
        <v>63</v>
      </c>
      <c r="B31" s="19"/>
      <c r="C31" s="8"/>
      <c r="D31" s="8"/>
      <c r="E31" s="7"/>
      <c r="F31" s="8"/>
      <c r="G31" s="8"/>
      <c r="H31" s="8"/>
      <c r="I31" s="8"/>
      <c r="J31" s="8"/>
      <c r="K31" s="7"/>
      <c r="L31" s="1"/>
      <c r="M31" s="2"/>
    </row>
    <row r="32" spans="1:13" x14ac:dyDescent="0.25">
      <c r="A32" s="4" t="s">
        <v>64</v>
      </c>
      <c r="B32" s="5" t="str">
        <f t="shared" ref="B32" si="10">IF(OR(C32="",D32=""),"",IF(C32&lt;=D32,SUM(+D32,-C32,),"24:00"-C32+D32))</f>
        <v/>
      </c>
      <c r="C32" s="6"/>
      <c r="D32" s="6"/>
      <c r="E32" s="5" t="str">
        <f t="shared" ref="E32:E33" si="11">IF(OR(F32="",G32=""),"",IF(F32&lt;=G32,SUM(+G32,-F32,),"24:00"-F32+G32))</f>
        <v/>
      </c>
      <c r="F32" s="6"/>
      <c r="G32" s="6"/>
      <c r="H32" s="5" t="str">
        <f t="shared" ref="H32:H33" si="12">IF(OR(I32="",J32=""),"",IF(I32&lt;=J32,SUM(+J32,-I32,),"24:00"-I32+J32))</f>
        <v/>
      </c>
      <c r="I32" s="6"/>
      <c r="J32" s="6"/>
      <c r="K32" s="6">
        <f t="shared" ref="K32:K33" si="13">SUM(B32,E32,H32)</f>
        <v>0</v>
      </c>
      <c r="L32" s="1"/>
      <c r="M32" s="2"/>
    </row>
    <row r="33" spans="1:13" x14ac:dyDescent="0.25">
      <c r="A33" s="4" t="s">
        <v>65</v>
      </c>
      <c r="B33" s="5" t="str">
        <f t="shared" si="5"/>
        <v/>
      </c>
      <c r="C33" s="6"/>
      <c r="D33" s="6"/>
      <c r="E33" s="5" t="str">
        <f t="shared" si="11"/>
        <v/>
      </c>
      <c r="F33" s="6"/>
      <c r="G33" s="6"/>
      <c r="H33" s="5" t="str">
        <f t="shared" si="12"/>
        <v/>
      </c>
      <c r="I33" s="6"/>
      <c r="J33" s="6"/>
      <c r="K33" s="6">
        <f t="shared" si="13"/>
        <v>0</v>
      </c>
      <c r="L33" s="1"/>
      <c r="M33" s="2"/>
    </row>
    <row r="34" spans="1:13" x14ac:dyDescent="0.25">
      <c r="A34" s="9" t="s">
        <v>3</v>
      </c>
      <c r="B34" s="5" t="str">
        <f t="shared" si="5"/>
        <v/>
      </c>
      <c r="C34" s="11"/>
      <c r="D34" s="11"/>
      <c r="E34" s="10"/>
      <c r="F34" s="11"/>
      <c r="G34" s="11"/>
      <c r="H34" s="12"/>
      <c r="I34" s="11"/>
      <c r="J34" s="11"/>
      <c r="K34" s="13">
        <f>SUM(K32:K33)</f>
        <v>0</v>
      </c>
      <c r="L34" s="11"/>
      <c r="M34" s="14"/>
    </row>
  </sheetData>
  <mergeCells count="2">
    <mergeCell ref="B1:M1"/>
    <mergeCell ref="G2:K2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Tabelle2!$A$1:$A$4</xm:f>
          </x14:formula1>
          <xm:sqref>L9:L10 L16:L17 L23:L24 L31</xm:sqref>
        </x14:dataValidation>
        <x14:dataValidation type="list" allowBlank="1" showInputMessage="1" showErrorMessage="1" promptTitle="Grund bitte auswählen" prompt="Grund bitte auswählen" xr:uid="{00000000-0002-0000-0000-000001000000}">
          <x14:formula1>
            <xm:f>Tabelle2!$A$1:$A$4</xm:f>
          </x14:formula1>
          <xm:sqref>L4:L8 L11:L15 L18:L22 L25:L29 L32:L33</xm:sqref>
        </x14:dataValidation>
        <x14:dataValidation type="list" allowBlank="1" showInputMessage="1" showErrorMessage="1" promptTitle="bewilligte Tage" prompt="Bewilligte/n Wochentag/e bitte auswählen" xr:uid="{00000000-0002-0000-0000-000002000000}">
          <x14:formula1>
            <xm:f>Tabelle2!$A$6:$A$28</xm:f>
          </x14:formula1>
          <xm:sqref>G2:K2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B26" sqref="B26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63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70</v>
      </c>
      <c r="B4" s="5" t="str">
        <f>IF(OR(C4="",D4=""),"",IF(C4&lt;=D4,SUM(+D4,-C4,),"24:00"-C4+D4))</f>
        <v/>
      </c>
      <c r="C4" s="6"/>
      <c r="D4" s="6"/>
      <c r="E4" s="5" t="str">
        <f t="shared" ref="E4:E20" si="0">IF(OR(F4="",G4=""),"",IF(F4&lt;=G4,SUM(+G4,-F4,),"24:00"-F4+G4))</f>
        <v/>
      </c>
      <c r="F4" s="6"/>
      <c r="G4" s="6"/>
      <c r="H4" s="5" t="str">
        <f t="shared" ref="H4:H20" si="1">IF(OR(I4="",J4=""),"",IF(I4&lt;=J4,SUM(+J4,-I4,),"24:00"-I4+J4))</f>
        <v/>
      </c>
      <c r="I4" s="6"/>
      <c r="J4" s="6"/>
      <c r="K4" s="6">
        <f t="shared" ref="K4:K20" si="2">SUM(B4,E4,H4)</f>
        <v>0</v>
      </c>
      <c r="L4" s="1"/>
      <c r="M4" s="2"/>
    </row>
    <row r="5" spans="1:13" x14ac:dyDescent="0.25">
      <c r="A5" s="4" t="s">
        <v>72</v>
      </c>
      <c r="B5" s="5" t="str">
        <f t="shared" ref="B5:B7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71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9" t="s">
        <v>3</v>
      </c>
      <c r="B7" s="5" t="str">
        <f t="shared" si="3"/>
        <v/>
      </c>
      <c r="C7" s="11"/>
      <c r="D7" s="11"/>
      <c r="E7" s="10"/>
      <c r="F7" s="11"/>
      <c r="G7" s="11"/>
      <c r="H7" s="12"/>
      <c r="I7" s="11"/>
      <c r="J7" s="11"/>
      <c r="K7" s="13">
        <f>SUM(K4:K6)</f>
        <v>0</v>
      </c>
      <c r="L7" s="11"/>
      <c r="M7" s="14"/>
    </row>
    <row r="8" spans="1:13" x14ac:dyDescent="0.25">
      <c r="A8" s="16" t="s">
        <v>66</v>
      </c>
      <c r="B8" s="19"/>
      <c r="C8" s="20"/>
      <c r="D8" s="20"/>
      <c r="E8" s="19"/>
      <c r="F8" s="20"/>
      <c r="G8" s="20"/>
      <c r="H8" s="20"/>
      <c r="I8" s="20"/>
      <c r="J8" s="20"/>
      <c r="K8" s="19"/>
      <c r="L8" s="21"/>
      <c r="M8" s="22"/>
    </row>
    <row r="9" spans="1:13" x14ac:dyDescent="0.25">
      <c r="A9" s="4" t="s">
        <v>73</v>
      </c>
      <c r="B9" s="5" t="str">
        <f>IF(OR(C9="",D9=""),"",IF(C9&lt;=D9,SUM(+D9,-C9,),"24:00"-C9+D9))</f>
        <v/>
      </c>
      <c r="C9" s="6"/>
      <c r="D9" s="6"/>
      <c r="E9" s="5" t="str">
        <f t="shared" si="0"/>
        <v/>
      </c>
      <c r="F9" s="6"/>
      <c r="G9" s="6"/>
      <c r="H9" s="5" t="str">
        <f t="shared" si="1"/>
        <v/>
      </c>
      <c r="I9" s="6"/>
      <c r="J9" s="6"/>
      <c r="K9" s="6">
        <f t="shared" si="2"/>
        <v>0</v>
      </c>
      <c r="L9" s="1"/>
      <c r="M9" s="2"/>
    </row>
    <row r="10" spans="1:13" x14ac:dyDescent="0.25">
      <c r="A10" s="4" t="s">
        <v>74</v>
      </c>
      <c r="B10" s="5" t="str">
        <f t="shared" ref="B10:B14" si="4">IF(OR(C10="",D10=""),"",IF(C10&lt;=D10,SUM(+D10,-C10,),"24:00"-C10+D10))</f>
        <v/>
      </c>
      <c r="C10" s="6"/>
      <c r="D10" s="6"/>
      <c r="E10" s="5" t="str">
        <f t="shared" si="0"/>
        <v/>
      </c>
      <c r="F10" s="6"/>
      <c r="G10" s="6"/>
      <c r="H10" s="5" t="str">
        <f t="shared" si="1"/>
        <v/>
      </c>
      <c r="I10" s="6"/>
      <c r="J10" s="6"/>
      <c r="K10" s="6">
        <f t="shared" si="2"/>
        <v>0</v>
      </c>
      <c r="L10" s="1"/>
      <c r="M10" s="2"/>
    </row>
    <row r="11" spans="1:13" x14ac:dyDescent="0.25">
      <c r="A11" s="4" t="s">
        <v>75</v>
      </c>
      <c r="B11" s="5" t="str">
        <f t="shared" si="4"/>
        <v/>
      </c>
      <c r="C11" s="6"/>
      <c r="D11" s="6"/>
      <c r="E11" s="5" t="str">
        <f t="shared" si="0"/>
        <v/>
      </c>
      <c r="F11" s="6"/>
      <c r="G11" s="6"/>
      <c r="H11" s="5" t="str">
        <f t="shared" si="1"/>
        <v/>
      </c>
      <c r="I11" s="6"/>
      <c r="J11" s="6"/>
      <c r="K11" s="6">
        <f t="shared" si="2"/>
        <v>0</v>
      </c>
      <c r="L11" s="1"/>
      <c r="M11" s="2"/>
    </row>
    <row r="12" spans="1:13" x14ac:dyDescent="0.25">
      <c r="A12" s="4" t="s">
        <v>76</v>
      </c>
      <c r="B12" s="5" t="str">
        <f t="shared" si="4"/>
        <v/>
      </c>
      <c r="C12" s="6"/>
      <c r="D12" s="6"/>
      <c r="E12" s="5" t="str">
        <f t="shared" si="0"/>
        <v/>
      </c>
      <c r="F12" s="6"/>
      <c r="G12" s="6"/>
      <c r="H12" s="5" t="str">
        <f t="shared" si="1"/>
        <v/>
      </c>
      <c r="I12" s="6"/>
      <c r="J12" s="6"/>
      <c r="K12" s="6">
        <f t="shared" si="2"/>
        <v>0</v>
      </c>
      <c r="L12" s="1"/>
      <c r="M12" s="2"/>
    </row>
    <row r="13" spans="1:13" x14ac:dyDescent="0.25">
      <c r="A13" s="4" t="s">
        <v>77</v>
      </c>
      <c r="B13" s="5" t="str">
        <f t="shared" si="4"/>
        <v/>
      </c>
      <c r="C13" s="6"/>
      <c r="D13" s="6"/>
      <c r="E13" s="5" t="str">
        <f t="shared" si="0"/>
        <v/>
      </c>
      <c r="F13" s="6"/>
      <c r="G13" s="6"/>
      <c r="H13" s="5" t="str">
        <f t="shared" si="1"/>
        <v/>
      </c>
      <c r="I13" s="6"/>
      <c r="J13" s="6"/>
      <c r="K13" s="6">
        <f t="shared" si="2"/>
        <v>0</v>
      </c>
      <c r="L13" s="1"/>
      <c r="M13" s="2"/>
    </row>
    <row r="14" spans="1:13" x14ac:dyDescent="0.25">
      <c r="A14" s="9" t="s">
        <v>3</v>
      </c>
      <c r="B14" s="5" t="str">
        <f t="shared" si="4"/>
        <v/>
      </c>
      <c r="C14" s="11"/>
      <c r="D14" s="11"/>
      <c r="E14" s="10"/>
      <c r="F14" s="11"/>
      <c r="G14" s="11"/>
      <c r="H14" s="12"/>
      <c r="I14" s="11"/>
      <c r="J14" s="11"/>
      <c r="K14" s="13">
        <f>SUM(K9:K13)</f>
        <v>0</v>
      </c>
      <c r="L14" s="11"/>
      <c r="M14" s="14"/>
    </row>
    <row r="15" spans="1:13" x14ac:dyDescent="0.25">
      <c r="A15" s="16" t="s">
        <v>67</v>
      </c>
      <c r="B15" s="19"/>
      <c r="C15" s="20"/>
      <c r="D15" s="20"/>
      <c r="E15" s="19"/>
      <c r="F15" s="20"/>
      <c r="G15" s="20"/>
      <c r="H15" s="20"/>
      <c r="I15" s="20"/>
      <c r="J15" s="20"/>
      <c r="K15" s="19"/>
      <c r="L15" s="21"/>
      <c r="M15" s="22"/>
    </row>
    <row r="16" spans="1:13" x14ac:dyDescent="0.25">
      <c r="A16" s="4" t="s">
        <v>78</v>
      </c>
      <c r="B16" s="5" t="str">
        <f t="shared" ref="B16:B32" si="5">IF(OR(C16="",D16=""),"",IF(C16&lt;=D16,SUM(+D16,-C16,),"24:00"-C16+D16))</f>
        <v/>
      </c>
      <c r="C16" s="6"/>
      <c r="D16" s="6"/>
      <c r="E16" s="5" t="str">
        <f t="shared" si="0"/>
        <v/>
      </c>
      <c r="F16" s="6"/>
      <c r="G16" s="6"/>
      <c r="H16" s="5" t="str">
        <f t="shared" si="1"/>
        <v/>
      </c>
      <c r="I16" s="6"/>
      <c r="J16" s="6"/>
      <c r="K16" s="6">
        <f t="shared" si="2"/>
        <v>0</v>
      </c>
      <c r="L16" s="1"/>
      <c r="M16" s="2"/>
    </row>
    <row r="17" spans="1:13" x14ac:dyDescent="0.25">
      <c r="A17" s="4" t="s">
        <v>79</v>
      </c>
      <c r="B17" s="5" t="str">
        <f t="shared" si="5"/>
        <v/>
      </c>
      <c r="C17" s="6"/>
      <c r="D17" s="6"/>
      <c r="E17" s="5" t="str">
        <f t="shared" si="0"/>
        <v/>
      </c>
      <c r="F17" s="6"/>
      <c r="G17" s="6"/>
      <c r="H17" s="5" t="str">
        <f t="shared" si="1"/>
        <v/>
      </c>
      <c r="I17" s="6"/>
      <c r="J17" s="6"/>
      <c r="K17" s="6">
        <f t="shared" si="2"/>
        <v>0</v>
      </c>
      <c r="L17" s="1"/>
      <c r="M17" s="2"/>
    </row>
    <row r="18" spans="1:13" x14ac:dyDescent="0.25">
      <c r="A18" s="4" t="s">
        <v>80</v>
      </c>
      <c r="B18" s="5" t="str">
        <f t="shared" si="5"/>
        <v/>
      </c>
      <c r="C18" s="6"/>
      <c r="D18" s="6"/>
      <c r="E18" s="5" t="str">
        <f t="shared" si="0"/>
        <v/>
      </c>
      <c r="F18" s="6"/>
      <c r="G18" s="6"/>
      <c r="H18" s="5" t="str">
        <f t="shared" si="1"/>
        <v/>
      </c>
      <c r="I18" s="6"/>
      <c r="J18" s="6"/>
      <c r="K18" s="6">
        <f t="shared" si="2"/>
        <v>0</v>
      </c>
      <c r="L18" s="1"/>
      <c r="M18" s="2"/>
    </row>
    <row r="19" spans="1:13" x14ac:dyDescent="0.25">
      <c r="A19" s="4" t="s">
        <v>81</v>
      </c>
      <c r="B19" s="5" t="str">
        <f t="shared" si="5"/>
        <v/>
      </c>
      <c r="C19" s="6"/>
      <c r="D19" s="6"/>
      <c r="E19" s="5" t="str">
        <f t="shared" si="0"/>
        <v/>
      </c>
      <c r="F19" s="6"/>
      <c r="G19" s="6"/>
      <c r="H19" s="5" t="str">
        <f t="shared" si="1"/>
        <v/>
      </c>
      <c r="I19" s="6"/>
      <c r="J19" s="6"/>
      <c r="K19" s="6">
        <f t="shared" si="2"/>
        <v>0</v>
      </c>
      <c r="L19" s="1"/>
      <c r="M19" s="2"/>
    </row>
    <row r="20" spans="1:13" x14ac:dyDescent="0.25">
      <c r="A20" s="4" t="s">
        <v>82</v>
      </c>
      <c r="B20" s="5" t="str">
        <f t="shared" si="5"/>
        <v/>
      </c>
      <c r="C20" s="6"/>
      <c r="D20" s="6"/>
      <c r="E20" s="5" t="str">
        <f t="shared" si="0"/>
        <v/>
      </c>
      <c r="F20" s="6"/>
      <c r="G20" s="6"/>
      <c r="H20" s="5" t="str">
        <f t="shared" si="1"/>
        <v/>
      </c>
      <c r="I20" s="6"/>
      <c r="J20" s="6"/>
      <c r="K20" s="6">
        <f t="shared" si="2"/>
        <v>0</v>
      </c>
      <c r="L20" s="1"/>
      <c r="M20" s="2"/>
    </row>
    <row r="21" spans="1:13" x14ac:dyDescent="0.25">
      <c r="A21" s="9" t="s">
        <v>3</v>
      </c>
      <c r="B21" s="5" t="str">
        <f t="shared" si="5"/>
        <v/>
      </c>
      <c r="C21" s="11"/>
      <c r="D21" s="11"/>
      <c r="E21" s="10"/>
      <c r="F21" s="11"/>
      <c r="G21" s="11"/>
      <c r="H21" s="12"/>
      <c r="I21" s="11"/>
      <c r="J21" s="11"/>
      <c r="K21" s="13">
        <f>SUM(K16:K20)</f>
        <v>0</v>
      </c>
      <c r="L21" s="11"/>
      <c r="M21" s="14"/>
    </row>
    <row r="22" spans="1:13" x14ac:dyDescent="0.25">
      <c r="A22" s="3" t="s">
        <v>68</v>
      </c>
      <c r="B22" s="19"/>
      <c r="C22" s="8"/>
      <c r="D22" s="8"/>
      <c r="E22" s="7"/>
      <c r="F22" s="8"/>
      <c r="G22" s="8"/>
      <c r="H22" s="8"/>
      <c r="I22" s="8"/>
      <c r="J22" s="8"/>
      <c r="K22" s="7"/>
      <c r="L22" s="1"/>
      <c r="M22" s="2"/>
    </row>
    <row r="23" spans="1:13" x14ac:dyDescent="0.25">
      <c r="A23" s="4" t="s">
        <v>83</v>
      </c>
      <c r="B23" s="5" t="str">
        <f t="shared" ref="B23" si="6">IF(OR(C23="",D23=""),"",IF(C23&lt;=D23,SUM(+D23,-C23,),"24:00"-C23+D23))</f>
        <v/>
      </c>
      <c r="C23" s="6"/>
      <c r="D23" s="6"/>
      <c r="E23" s="5" t="str">
        <f t="shared" ref="E23:E27" si="7">IF(OR(F23="",G23=""),"",IF(F23&lt;=G23,SUM(+G23,-F23,),"24:00"-F23+G23))</f>
        <v/>
      </c>
      <c r="F23" s="6"/>
      <c r="G23" s="6"/>
      <c r="H23" s="5" t="str">
        <f t="shared" ref="H23:H27" si="8">IF(OR(I23="",J23=""),"",IF(I23&lt;=J23,SUM(+J23,-I23,),"24:00"-I23+J23))</f>
        <v/>
      </c>
      <c r="I23" s="6"/>
      <c r="J23" s="6"/>
      <c r="K23" s="6">
        <f t="shared" ref="K23:K27" si="9">SUM(B23,E23,H23)</f>
        <v>0</v>
      </c>
      <c r="L23" s="1"/>
      <c r="M23" s="2"/>
    </row>
    <row r="24" spans="1:13" x14ac:dyDescent="0.25">
      <c r="A24" s="4" t="s">
        <v>84</v>
      </c>
      <c r="B24" s="5" t="str">
        <f t="shared" si="5"/>
        <v/>
      </c>
      <c r="C24" s="6"/>
      <c r="D24" s="6"/>
      <c r="E24" s="5" t="str">
        <f t="shared" si="7"/>
        <v/>
      </c>
      <c r="F24" s="6"/>
      <c r="G24" s="6"/>
      <c r="H24" s="5" t="str">
        <f t="shared" si="8"/>
        <v/>
      </c>
      <c r="I24" s="6"/>
      <c r="J24" s="6"/>
      <c r="K24" s="6">
        <f t="shared" si="9"/>
        <v>0</v>
      </c>
      <c r="L24" s="1"/>
      <c r="M24" s="2"/>
    </row>
    <row r="25" spans="1:13" x14ac:dyDescent="0.25">
      <c r="A25" s="4" t="s">
        <v>85</v>
      </c>
      <c r="B25" s="5" t="str">
        <f t="shared" si="5"/>
        <v/>
      </c>
      <c r="C25" s="6"/>
      <c r="D25" s="6"/>
      <c r="E25" s="5" t="str">
        <f t="shared" si="7"/>
        <v/>
      </c>
      <c r="F25" s="6"/>
      <c r="G25" s="6"/>
      <c r="H25" s="5" t="str">
        <f t="shared" si="8"/>
        <v/>
      </c>
      <c r="I25" s="6"/>
      <c r="J25" s="6"/>
      <c r="K25" s="6">
        <f t="shared" si="9"/>
        <v>0</v>
      </c>
      <c r="L25" s="1"/>
      <c r="M25" s="2"/>
    </row>
    <row r="26" spans="1:13" x14ac:dyDescent="0.25">
      <c r="A26" s="4" t="s">
        <v>86</v>
      </c>
      <c r="B26" s="5" t="str">
        <f t="shared" si="5"/>
        <v/>
      </c>
      <c r="C26" s="6"/>
      <c r="D26" s="6"/>
      <c r="E26" s="5" t="str">
        <f t="shared" si="7"/>
        <v/>
      </c>
      <c r="F26" s="6"/>
      <c r="G26" s="6"/>
      <c r="H26" s="5" t="str">
        <f t="shared" si="8"/>
        <v/>
      </c>
      <c r="I26" s="6"/>
      <c r="J26" s="6"/>
      <c r="K26" s="6">
        <f t="shared" si="9"/>
        <v>0</v>
      </c>
      <c r="L26" s="1"/>
      <c r="M26" s="2"/>
    </row>
    <row r="27" spans="1:13" x14ac:dyDescent="0.25">
      <c r="A27" s="4" t="s">
        <v>87</v>
      </c>
      <c r="B27" s="5" t="str">
        <f t="shared" si="5"/>
        <v/>
      </c>
      <c r="C27" s="6"/>
      <c r="D27" s="6"/>
      <c r="E27" s="5" t="str">
        <f t="shared" si="7"/>
        <v/>
      </c>
      <c r="F27" s="6"/>
      <c r="G27" s="6"/>
      <c r="H27" s="5" t="str">
        <f t="shared" si="8"/>
        <v/>
      </c>
      <c r="I27" s="6"/>
      <c r="J27" s="6"/>
      <c r="K27" s="6">
        <f t="shared" si="9"/>
        <v>0</v>
      </c>
      <c r="L27" s="1"/>
      <c r="M27" s="2"/>
    </row>
    <row r="28" spans="1:13" x14ac:dyDescent="0.25">
      <c r="A28" s="9" t="s">
        <v>3</v>
      </c>
      <c r="B28" s="5" t="str">
        <f t="shared" si="5"/>
        <v/>
      </c>
      <c r="C28" s="11"/>
      <c r="D28" s="11"/>
      <c r="E28" s="10"/>
      <c r="F28" s="11"/>
      <c r="G28" s="11"/>
      <c r="H28" s="12"/>
      <c r="I28" s="11"/>
      <c r="J28" s="11"/>
      <c r="K28" s="13">
        <f>SUM(K23:K27)</f>
        <v>0</v>
      </c>
      <c r="L28" s="11"/>
      <c r="M28" s="14"/>
    </row>
    <row r="29" spans="1:13" x14ac:dyDescent="0.25">
      <c r="A29" s="3" t="s">
        <v>69</v>
      </c>
      <c r="B29" s="19"/>
      <c r="C29" s="8"/>
      <c r="D29" s="8"/>
      <c r="E29" s="7"/>
      <c r="F29" s="8"/>
      <c r="G29" s="8"/>
      <c r="H29" s="8"/>
      <c r="I29" s="8"/>
      <c r="J29" s="8"/>
      <c r="K29" s="7"/>
      <c r="L29" s="1"/>
      <c r="M29" s="2"/>
    </row>
    <row r="30" spans="1:13" x14ac:dyDescent="0.25">
      <c r="A30" s="4" t="s">
        <v>88</v>
      </c>
      <c r="B30" s="5" t="str">
        <f t="shared" ref="B30" si="10">IF(OR(C30="",D30=""),"",IF(C30&lt;=D30,SUM(+D30,-C30,),"24:00"-C30+D30))</f>
        <v/>
      </c>
      <c r="C30" s="6"/>
      <c r="D30" s="6"/>
      <c r="E30" s="5" t="str">
        <f t="shared" ref="E30:E31" si="11">IF(OR(F30="",G30=""),"",IF(F30&lt;=G30,SUM(+G30,-F30,),"24:00"-F30+G30))</f>
        <v/>
      </c>
      <c r="F30" s="6"/>
      <c r="G30" s="6"/>
      <c r="H30" s="5" t="str">
        <f t="shared" ref="H30:H31" si="12">IF(OR(I30="",J30=""),"",IF(I30&lt;=J30,SUM(+J30,-I30,),"24:00"-I30+J30))</f>
        <v/>
      </c>
      <c r="I30" s="6"/>
      <c r="J30" s="6"/>
      <c r="K30" s="6">
        <f t="shared" ref="K30:K31" si="13">SUM(B30,E30,H30)</f>
        <v>0</v>
      </c>
      <c r="L30" s="1"/>
      <c r="M30" s="2"/>
    </row>
    <row r="31" spans="1:13" x14ac:dyDescent="0.25">
      <c r="A31" s="4" t="s">
        <v>89</v>
      </c>
      <c r="B31" s="5" t="str">
        <f t="shared" si="5"/>
        <v/>
      </c>
      <c r="C31" s="6"/>
      <c r="D31" s="6"/>
      <c r="E31" s="5" t="str">
        <f t="shared" si="11"/>
        <v/>
      </c>
      <c r="F31" s="6"/>
      <c r="G31" s="6"/>
      <c r="H31" s="5" t="str">
        <f t="shared" si="12"/>
        <v/>
      </c>
      <c r="I31" s="6"/>
      <c r="J31" s="6"/>
      <c r="K31" s="6">
        <f t="shared" si="13"/>
        <v>0</v>
      </c>
      <c r="L31" s="1"/>
      <c r="M31" s="2"/>
    </row>
    <row r="32" spans="1:13" x14ac:dyDescent="0.25">
      <c r="A32" s="9" t="s">
        <v>3</v>
      </c>
      <c r="B32" s="5" t="str">
        <f t="shared" si="5"/>
        <v/>
      </c>
      <c r="C32" s="11"/>
      <c r="D32" s="11"/>
      <c r="E32" s="10"/>
      <c r="F32" s="11"/>
      <c r="G32" s="11"/>
      <c r="H32" s="12"/>
      <c r="I32" s="11"/>
      <c r="J32" s="11"/>
      <c r="K32" s="13">
        <f>SUM(K30:K31)</f>
        <v>0</v>
      </c>
      <c r="L32" s="11"/>
      <c r="M32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bewilligte Tage" prompt="Bewilligte/n Wochentag/e bitte auswählen" xr:uid="{00000000-0002-0000-0100-000000000000}">
          <x14:formula1>
            <xm:f>Tabelle2!$A$6:$A$28</xm:f>
          </x14:formula1>
          <xm:sqref>G2:K2</xm:sqref>
        </x14:dataValidation>
        <x14:dataValidation type="list" allowBlank="1" showInputMessage="1" showErrorMessage="1" promptTitle="Grund bitte auswählen" prompt="Grund bitte auswählen" xr:uid="{00000000-0002-0000-0100-000001000000}">
          <x14:formula1>
            <xm:f>Tabelle2!$A$1:$A$4</xm:f>
          </x14:formula1>
          <xm:sqref>L9:L13 L16:L20 L23:L27 L30:L31 L4:L6</xm:sqref>
        </x14:dataValidation>
        <x14:dataValidation type="list" allowBlank="1" showInputMessage="1" showErrorMessage="1" xr:uid="{00000000-0002-0000-0100-000002000000}">
          <x14:formula1>
            <xm:f>Tabelle2!$A$1:$A$4</xm:f>
          </x14:formula1>
          <xm:sqref>L7:L8 L14:L15 L21:L22 L29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abSelected="1" workbookViewId="0">
      <selection activeCell="P19" sqref="P19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69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94</v>
      </c>
      <c r="B4" s="5" t="str">
        <f>IF(OR(C4="",D4=""),"",IF(C4&lt;=D4,SUM(+D4,-C4,),"24:00"-C4+D4))</f>
        <v/>
      </c>
      <c r="C4" s="6"/>
      <c r="D4" s="6"/>
      <c r="E4" s="5" t="str">
        <f t="shared" ref="E4:E22" si="0">IF(OR(F4="",G4=""),"",IF(F4&lt;=G4,SUM(+G4,-F4,),"24:00"-F4+G4))</f>
        <v/>
      </c>
      <c r="F4" s="6"/>
      <c r="G4" s="6"/>
      <c r="H4" s="5" t="str">
        <f t="shared" ref="H4:H22" si="1">IF(OR(I4="",J4=""),"",IF(I4&lt;=J4,SUM(+J4,-I4,),"24:00"-I4+J4))</f>
        <v/>
      </c>
      <c r="I4" s="6"/>
      <c r="J4" s="6"/>
      <c r="K4" s="6">
        <f t="shared" ref="K4:K22" si="2">SUM(B4,E4,H4)</f>
        <v>0</v>
      </c>
      <c r="L4" s="1"/>
      <c r="M4" s="2"/>
    </row>
    <row r="5" spans="1:13" x14ac:dyDescent="0.25">
      <c r="A5" s="4" t="s">
        <v>95</v>
      </c>
      <c r="B5" s="5" t="str">
        <f t="shared" ref="B5:B9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121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122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4" t="s">
        <v>96</v>
      </c>
      <c r="B8" s="5" t="str">
        <f t="shared" si="3"/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/>
    </row>
    <row r="9" spans="1:13" x14ac:dyDescent="0.25">
      <c r="A9" s="9" t="s">
        <v>3</v>
      </c>
      <c r="B9" s="5" t="str">
        <f t="shared" si="3"/>
        <v/>
      </c>
      <c r="C9" s="11"/>
      <c r="D9" s="11"/>
      <c r="E9" s="10"/>
      <c r="F9" s="11"/>
      <c r="G9" s="11"/>
      <c r="H9" s="12"/>
      <c r="I9" s="11"/>
      <c r="J9" s="11"/>
      <c r="K9" s="13">
        <f>SUM(K4:K8)</f>
        <v>0</v>
      </c>
      <c r="L9" s="11"/>
      <c r="M9" s="14"/>
    </row>
    <row r="10" spans="1:13" x14ac:dyDescent="0.25">
      <c r="A10" s="16" t="s">
        <v>90</v>
      </c>
      <c r="B10" s="19"/>
      <c r="C10" s="20"/>
      <c r="D10" s="20"/>
      <c r="E10" s="19"/>
      <c r="F10" s="20"/>
      <c r="G10" s="20"/>
      <c r="H10" s="20"/>
      <c r="I10" s="20"/>
      <c r="J10" s="20"/>
      <c r="K10" s="19"/>
      <c r="L10" s="21"/>
      <c r="M10" s="22"/>
    </row>
    <row r="11" spans="1:13" x14ac:dyDescent="0.25">
      <c r="A11" s="4" t="s">
        <v>97</v>
      </c>
      <c r="B11" s="5" t="str">
        <f>IF(OR(C11="",D11=""),"",IF(C11&lt;=D11,SUM(+D11,-C11,),"24:00"-C11+D11))</f>
        <v/>
      </c>
      <c r="C11" s="6"/>
      <c r="D11" s="6"/>
      <c r="E11" s="5" t="str">
        <f t="shared" si="0"/>
        <v/>
      </c>
      <c r="F11" s="6"/>
      <c r="G11" s="6"/>
      <c r="H11" s="5" t="str">
        <f t="shared" si="1"/>
        <v/>
      </c>
      <c r="I11" s="6"/>
      <c r="J11" s="6"/>
      <c r="K11" s="6">
        <f t="shared" si="2"/>
        <v>0</v>
      </c>
      <c r="L11" s="1"/>
      <c r="M11" s="2"/>
    </row>
    <row r="12" spans="1:13" x14ac:dyDescent="0.25">
      <c r="A12" s="4" t="s">
        <v>98</v>
      </c>
      <c r="B12" s="5" t="str">
        <f t="shared" ref="B12:B16" si="4">IF(OR(C12="",D12=""),"",IF(C12&lt;=D12,SUM(+D12,-C12,),"24:00"-C12+D12))</f>
        <v/>
      </c>
      <c r="C12" s="6"/>
      <c r="D12" s="6"/>
      <c r="E12" s="5" t="str">
        <f t="shared" si="0"/>
        <v/>
      </c>
      <c r="F12" s="6"/>
      <c r="G12" s="6"/>
      <c r="H12" s="5" t="str">
        <f t="shared" si="1"/>
        <v/>
      </c>
      <c r="I12" s="6"/>
      <c r="J12" s="6"/>
      <c r="K12" s="6">
        <f t="shared" si="2"/>
        <v>0</v>
      </c>
      <c r="L12" s="1"/>
      <c r="M12" s="2"/>
    </row>
    <row r="13" spans="1:13" x14ac:dyDescent="0.25">
      <c r="A13" s="4" t="s">
        <v>99</v>
      </c>
      <c r="B13" s="5" t="str">
        <f t="shared" si="4"/>
        <v/>
      </c>
      <c r="C13" s="6"/>
      <c r="D13" s="6"/>
      <c r="E13" s="5" t="str">
        <f t="shared" si="0"/>
        <v/>
      </c>
      <c r="F13" s="6"/>
      <c r="G13" s="6"/>
      <c r="H13" s="5" t="str">
        <f t="shared" si="1"/>
        <v/>
      </c>
      <c r="I13" s="6"/>
      <c r="J13" s="6"/>
      <c r="K13" s="6">
        <f t="shared" si="2"/>
        <v>0</v>
      </c>
      <c r="L13" s="1"/>
      <c r="M13" s="2"/>
    </row>
    <row r="14" spans="1:13" x14ac:dyDescent="0.25">
      <c r="A14" s="4" t="s">
        <v>100</v>
      </c>
      <c r="B14" s="5">
        <f t="shared" si="4"/>
        <v>0.33333333333333337</v>
      </c>
      <c r="C14" s="6">
        <v>0.375</v>
      </c>
      <c r="D14" s="6">
        <v>0.70833333333333337</v>
      </c>
      <c r="E14" s="5" t="str">
        <f t="shared" si="0"/>
        <v/>
      </c>
      <c r="F14" s="6"/>
      <c r="G14" s="6"/>
      <c r="H14" s="5" t="str">
        <f t="shared" si="1"/>
        <v/>
      </c>
      <c r="I14" s="6"/>
      <c r="J14" s="6"/>
      <c r="K14" s="6">
        <f t="shared" si="2"/>
        <v>0.33333333333333337</v>
      </c>
      <c r="L14" s="1"/>
      <c r="M14" s="2"/>
    </row>
    <row r="15" spans="1:13" x14ac:dyDescent="0.25">
      <c r="A15" s="4" t="s">
        <v>101</v>
      </c>
      <c r="B15" s="5">
        <f t="shared" si="4"/>
        <v>0.33333333333333337</v>
      </c>
      <c r="C15" s="6">
        <v>0.375</v>
      </c>
      <c r="D15" s="6">
        <v>0.70833333333333337</v>
      </c>
      <c r="E15" s="5" t="str">
        <f t="shared" si="0"/>
        <v/>
      </c>
      <c r="F15" s="6"/>
      <c r="G15" s="6"/>
      <c r="H15" s="5" t="str">
        <f t="shared" si="1"/>
        <v/>
      </c>
      <c r="I15" s="6"/>
      <c r="J15" s="6"/>
      <c r="K15" s="6">
        <f t="shared" si="2"/>
        <v>0.33333333333333337</v>
      </c>
      <c r="L15" s="1"/>
      <c r="M15" s="2"/>
    </row>
    <row r="16" spans="1:13" x14ac:dyDescent="0.25">
      <c r="A16" s="9" t="s">
        <v>3</v>
      </c>
      <c r="B16" s="5" t="str">
        <f t="shared" si="4"/>
        <v/>
      </c>
      <c r="C16" s="11"/>
      <c r="D16" s="11"/>
      <c r="E16" s="10"/>
      <c r="F16" s="11"/>
      <c r="G16" s="11"/>
      <c r="H16" s="12"/>
      <c r="I16" s="11"/>
      <c r="J16" s="11"/>
      <c r="K16" s="13">
        <f>SUM(K11:K15)</f>
        <v>0.66666666666666674</v>
      </c>
      <c r="L16" s="11"/>
      <c r="M16" s="14"/>
    </row>
    <row r="17" spans="1:13" x14ac:dyDescent="0.25">
      <c r="A17" s="16" t="s">
        <v>91</v>
      </c>
      <c r="B17" s="19"/>
      <c r="C17" s="20"/>
      <c r="D17" s="20"/>
      <c r="E17" s="19"/>
      <c r="F17" s="20"/>
      <c r="G17" s="20"/>
      <c r="H17" s="20"/>
      <c r="I17" s="20"/>
      <c r="J17" s="20"/>
      <c r="K17" s="19"/>
      <c r="L17" s="21"/>
      <c r="M17" s="22"/>
    </row>
    <row r="18" spans="1:13" x14ac:dyDescent="0.25">
      <c r="A18" s="4" t="s">
        <v>102</v>
      </c>
      <c r="B18" s="5" t="str">
        <f t="shared" ref="B18:B37" si="5">IF(OR(C18="",D18=""),"",IF(C18&lt;=D18,SUM(+D18,-C18,),"24:00"-C18+D18))</f>
        <v/>
      </c>
      <c r="C18" s="6"/>
      <c r="D18" s="6"/>
      <c r="E18" s="5" t="str">
        <f t="shared" si="0"/>
        <v/>
      </c>
      <c r="F18" s="6"/>
      <c r="G18" s="6"/>
      <c r="H18" s="5" t="str">
        <f t="shared" si="1"/>
        <v/>
      </c>
      <c r="I18" s="6"/>
      <c r="J18" s="6"/>
      <c r="K18" s="6">
        <f t="shared" si="2"/>
        <v>0</v>
      </c>
      <c r="L18" s="1"/>
      <c r="M18" s="2"/>
    </row>
    <row r="19" spans="1:13" x14ac:dyDescent="0.25">
      <c r="A19" s="4" t="s">
        <v>103</v>
      </c>
      <c r="B19" s="5" t="str">
        <f t="shared" si="5"/>
        <v/>
      </c>
      <c r="C19" s="6"/>
      <c r="D19" s="6"/>
      <c r="E19" s="5" t="str">
        <f t="shared" si="0"/>
        <v/>
      </c>
      <c r="F19" s="6"/>
      <c r="G19" s="6"/>
      <c r="H19" s="5" t="str">
        <f t="shared" si="1"/>
        <v/>
      </c>
      <c r="I19" s="6"/>
      <c r="J19" s="6"/>
      <c r="K19" s="6">
        <f t="shared" si="2"/>
        <v>0</v>
      </c>
      <c r="L19" s="1"/>
      <c r="M19" s="2"/>
    </row>
    <row r="20" spans="1:13" x14ac:dyDescent="0.25">
      <c r="A20" s="4" t="s">
        <v>104</v>
      </c>
      <c r="B20" s="5" t="str">
        <f t="shared" si="5"/>
        <v/>
      </c>
      <c r="C20" s="6"/>
      <c r="D20" s="6"/>
      <c r="E20" s="5" t="str">
        <f t="shared" si="0"/>
        <v/>
      </c>
      <c r="F20" s="6"/>
      <c r="G20" s="6"/>
      <c r="H20" s="5" t="str">
        <f t="shared" si="1"/>
        <v/>
      </c>
      <c r="I20" s="6"/>
      <c r="J20" s="6"/>
      <c r="K20" s="6">
        <f t="shared" si="2"/>
        <v>0</v>
      </c>
      <c r="L20" s="1"/>
      <c r="M20" s="2"/>
    </row>
    <row r="21" spans="1:13" x14ac:dyDescent="0.25">
      <c r="A21" s="4" t="s">
        <v>105</v>
      </c>
      <c r="B21" s="5" t="str">
        <f t="shared" si="5"/>
        <v/>
      </c>
      <c r="C21" s="6"/>
      <c r="D21" s="6"/>
      <c r="E21" s="5" t="str">
        <f t="shared" si="0"/>
        <v/>
      </c>
      <c r="F21" s="6"/>
      <c r="G21" s="6"/>
      <c r="H21" s="5" t="str">
        <f t="shared" si="1"/>
        <v/>
      </c>
      <c r="I21" s="6"/>
      <c r="J21" s="6"/>
      <c r="K21" s="6">
        <f t="shared" si="2"/>
        <v>0</v>
      </c>
      <c r="L21" s="1"/>
      <c r="M21" s="2"/>
    </row>
    <row r="22" spans="1:13" x14ac:dyDescent="0.25">
      <c r="A22" s="4" t="s">
        <v>106</v>
      </c>
      <c r="B22" s="5" t="str">
        <f t="shared" si="5"/>
        <v/>
      </c>
      <c r="C22" s="6"/>
      <c r="D22" s="6"/>
      <c r="E22" s="5" t="str">
        <f t="shared" si="0"/>
        <v/>
      </c>
      <c r="F22" s="6"/>
      <c r="G22" s="6"/>
      <c r="H22" s="5" t="str">
        <f t="shared" si="1"/>
        <v/>
      </c>
      <c r="I22" s="6"/>
      <c r="J22" s="6"/>
      <c r="K22" s="6">
        <f t="shared" si="2"/>
        <v>0</v>
      </c>
      <c r="L22" s="1"/>
      <c r="M22" s="2"/>
    </row>
    <row r="23" spans="1:13" x14ac:dyDescent="0.25">
      <c r="A23" s="9" t="s">
        <v>3</v>
      </c>
      <c r="B23" s="5" t="str">
        <f t="shared" si="5"/>
        <v/>
      </c>
      <c r="C23" s="11"/>
      <c r="D23" s="11"/>
      <c r="E23" s="10"/>
      <c r="F23" s="11"/>
      <c r="G23" s="11"/>
      <c r="H23" s="12"/>
      <c r="I23" s="11"/>
      <c r="J23" s="11"/>
      <c r="K23" s="13">
        <f>SUM(K18:K22)</f>
        <v>0</v>
      </c>
      <c r="L23" s="11"/>
      <c r="M23" s="14"/>
    </row>
    <row r="24" spans="1:13" x14ac:dyDescent="0.25">
      <c r="A24" s="3" t="s">
        <v>92</v>
      </c>
      <c r="B24" s="19"/>
      <c r="C24" s="8"/>
      <c r="D24" s="8"/>
      <c r="E24" s="7"/>
      <c r="F24" s="8"/>
      <c r="G24" s="8"/>
      <c r="H24" s="8"/>
      <c r="I24" s="8"/>
      <c r="J24" s="8"/>
      <c r="K24" s="7"/>
      <c r="L24" s="1"/>
      <c r="M24" s="2"/>
    </row>
    <row r="25" spans="1:13" x14ac:dyDescent="0.25">
      <c r="A25" s="4" t="s">
        <v>107</v>
      </c>
      <c r="B25" s="5" t="str">
        <f t="shared" ref="B25" si="6">IF(OR(C25="",D25=""),"",IF(C25&lt;=D25,SUM(+D25,-C25,),"24:00"-C25+D25))</f>
        <v/>
      </c>
      <c r="C25" s="6"/>
      <c r="D25" s="6"/>
      <c r="E25" s="5" t="str">
        <f t="shared" ref="E25:E29" si="7">IF(OR(F25="",G25=""),"",IF(F25&lt;=G25,SUM(+G25,-F25,),"24:00"-F25+G25))</f>
        <v/>
      </c>
      <c r="F25" s="6"/>
      <c r="G25" s="6"/>
      <c r="H25" s="5" t="str">
        <f t="shared" ref="H25:H29" si="8">IF(OR(I25="",J25=""),"",IF(I25&lt;=J25,SUM(+J25,-I25,),"24:00"-I25+J25))</f>
        <v/>
      </c>
      <c r="I25" s="6"/>
      <c r="J25" s="6"/>
      <c r="K25" s="6">
        <f t="shared" ref="K25:K29" si="9">SUM(B25,E25,H25)</f>
        <v>0</v>
      </c>
      <c r="L25" s="1"/>
      <c r="M25" s="2"/>
    </row>
    <row r="26" spans="1:13" x14ac:dyDescent="0.25">
      <c r="A26" s="4" t="s">
        <v>108</v>
      </c>
      <c r="B26" s="5" t="str">
        <f t="shared" si="5"/>
        <v/>
      </c>
      <c r="C26" s="6"/>
      <c r="D26" s="6"/>
      <c r="E26" s="5" t="str">
        <f t="shared" si="7"/>
        <v/>
      </c>
      <c r="F26" s="6"/>
      <c r="G26" s="6"/>
      <c r="H26" s="5" t="str">
        <f t="shared" si="8"/>
        <v/>
      </c>
      <c r="I26" s="6"/>
      <c r="J26" s="6"/>
      <c r="K26" s="6">
        <f t="shared" si="9"/>
        <v>0</v>
      </c>
      <c r="L26" s="1"/>
      <c r="M26" s="2"/>
    </row>
    <row r="27" spans="1:13" x14ac:dyDescent="0.25">
      <c r="A27" s="4" t="s">
        <v>109</v>
      </c>
      <c r="B27" s="5" t="str">
        <f t="shared" si="5"/>
        <v/>
      </c>
      <c r="C27" s="6"/>
      <c r="D27" s="6"/>
      <c r="E27" s="5" t="str">
        <f t="shared" si="7"/>
        <v/>
      </c>
      <c r="F27" s="6"/>
      <c r="G27" s="6"/>
      <c r="H27" s="5" t="str">
        <f t="shared" si="8"/>
        <v/>
      </c>
      <c r="I27" s="6"/>
      <c r="J27" s="6"/>
      <c r="K27" s="6">
        <f t="shared" si="9"/>
        <v>0</v>
      </c>
      <c r="L27" s="1"/>
      <c r="M27" s="2"/>
    </row>
    <row r="28" spans="1:13" x14ac:dyDescent="0.25">
      <c r="A28" s="4" t="s">
        <v>114</v>
      </c>
      <c r="B28" s="5" t="str">
        <f t="shared" si="5"/>
        <v/>
      </c>
      <c r="C28" s="6"/>
      <c r="D28" s="6"/>
      <c r="E28" s="5" t="str">
        <f t="shared" si="7"/>
        <v/>
      </c>
      <c r="F28" s="6"/>
      <c r="G28" s="6"/>
      <c r="H28" s="5" t="str">
        <f t="shared" si="8"/>
        <v/>
      </c>
      <c r="I28" s="6"/>
      <c r="J28" s="6"/>
      <c r="K28" s="6">
        <f t="shared" si="9"/>
        <v>0</v>
      </c>
      <c r="L28" s="1"/>
      <c r="M28" s="2"/>
    </row>
    <row r="29" spans="1:13" x14ac:dyDescent="0.25">
      <c r="A29" s="4" t="s">
        <v>115</v>
      </c>
      <c r="B29" s="5" t="str">
        <f t="shared" si="5"/>
        <v/>
      </c>
      <c r="C29" s="6"/>
      <c r="D29" s="6"/>
      <c r="E29" s="5" t="str">
        <f t="shared" si="7"/>
        <v/>
      </c>
      <c r="F29" s="6"/>
      <c r="G29" s="6"/>
      <c r="H29" s="5" t="str">
        <f t="shared" si="8"/>
        <v/>
      </c>
      <c r="I29" s="6"/>
      <c r="J29" s="6"/>
      <c r="K29" s="6">
        <f t="shared" si="9"/>
        <v>0</v>
      </c>
      <c r="L29" s="1"/>
      <c r="M29" s="2"/>
    </row>
    <row r="30" spans="1:13" x14ac:dyDescent="0.25">
      <c r="A30" s="9" t="s">
        <v>3</v>
      </c>
      <c r="B30" s="5" t="str">
        <f t="shared" si="5"/>
        <v/>
      </c>
      <c r="C30" s="11"/>
      <c r="D30" s="11"/>
      <c r="E30" s="10"/>
      <c r="F30" s="11"/>
      <c r="G30" s="11"/>
      <c r="H30" s="12"/>
      <c r="I30" s="11"/>
      <c r="J30" s="11"/>
      <c r="K30" s="13">
        <f>SUM(K25:K29)</f>
        <v>0</v>
      </c>
      <c r="L30" s="11"/>
      <c r="M30" s="14"/>
    </row>
    <row r="31" spans="1:13" x14ac:dyDescent="0.25">
      <c r="A31" s="3" t="s">
        <v>93</v>
      </c>
      <c r="B31" s="19"/>
      <c r="C31" s="8"/>
      <c r="D31" s="8"/>
      <c r="E31" s="7"/>
      <c r="F31" s="8"/>
      <c r="G31" s="8"/>
      <c r="H31" s="8"/>
      <c r="I31" s="8"/>
      <c r="J31" s="8"/>
      <c r="K31" s="7"/>
      <c r="L31" s="1"/>
      <c r="M31" s="2"/>
    </row>
    <row r="32" spans="1:13" x14ac:dyDescent="0.25">
      <c r="A32" s="4" t="s">
        <v>116</v>
      </c>
      <c r="B32" s="5" t="str">
        <f t="shared" ref="B32" si="10">IF(OR(C32="",D32=""),"",IF(C32&lt;=D32,SUM(+D32,-C32,),"24:00"-C32+D32))</f>
        <v/>
      </c>
      <c r="C32" s="6"/>
      <c r="D32" s="6"/>
      <c r="E32" s="5" t="str">
        <f t="shared" ref="E32:E36" si="11">IF(OR(F32="",G32=""),"",IF(F32&lt;=G32,SUM(+G32,-F32,),"24:00"-F32+G32))</f>
        <v/>
      </c>
      <c r="F32" s="6"/>
      <c r="G32" s="6"/>
      <c r="H32" s="5" t="str">
        <f t="shared" ref="H32:H36" si="12">IF(OR(I32="",J32=""),"",IF(I32&lt;=J32,SUM(+J32,-I32,),"24:00"-I32+J32))</f>
        <v/>
      </c>
      <c r="I32" s="6"/>
      <c r="J32" s="6"/>
      <c r="K32" s="6">
        <f t="shared" ref="K32:K36" si="13">SUM(B32,E32,H32)</f>
        <v>0</v>
      </c>
      <c r="L32" s="1"/>
      <c r="M32" s="2"/>
    </row>
    <row r="33" spans="1:13" x14ac:dyDescent="0.25">
      <c r="A33" s="4" t="s">
        <v>117</v>
      </c>
      <c r="B33" s="5" t="str">
        <f t="shared" si="5"/>
        <v/>
      </c>
      <c r="C33" s="6"/>
      <c r="D33" s="6"/>
      <c r="E33" s="5" t="str">
        <f t="shared" si="11"/>
        <v/>
      </c>
      <c r="F33" s="6"/>
      <c r="G33" s="6"/>
      <c r="H33" s="5" t="str">
        <f t="shared" si="12"/>
        <v/>
      </c>
      <c r="I33" s="6"/>
      <c r="J33" s="6"/>
      <c r="K33" s="6">
        <f t="shared" si="13"/>
        <v>0</v>
      </c>
      <c r="L33" s="1"/>
      <c r="M33" s="2"/>
    </row>
    <row r="34" spans="1:13" x14ac:dyDescent="0.25">
      <c r="A34" s="4" t="s">
        <v>118</v>
      </c>
      <c r="B34" s="5" t="str">
        <f t="shared" si="5"/>
        <v/>
      </c>
      <c r="C34" s="6"/>
      <c r="D34" s="6"/>
      <c r="E34" s="5" t="str">
        <f t="shared" si="11"/>
        <v/>
      </c>
      <c r="F34" s="6"/>
      <c r="G34" s="6"/>
      <c r="H34" s="5" t="str">
        <f t="shared" si="12"/>
        <v/>
      </c>
      <c r="I34" s="6"/>
      <c r="J34" s="6"/>
      <c r="K34" s="6">
        <f t="shared" si="13"/>
        <v>0</v>
      </c>
      <c r="L34" s="1"/>
      <c r="M34" s="2"/>
    </row>
    <row r="35" spans="1:13" x14ac:dyDescent="0.25">
      <c r="A35" s="4" t="s">
        <v>119</v>
      </c>
      <c r="B35" s="5" t="str">
        <f t="shared" si="5"/>
        <v/>
      </c>
      <c r="C35" s="6"/>
      <c r="D35" s="6"/>
      <c r="E35" s="5" t="str">
        <f t="shared" si="11"/>
        <v/>
      </c>
      <c r="F35" s="6"/>
      <c r="G35" s="6"/>
      <c r="H35" s="5" t="str">
        <f t="shared" si="12"/>
        <v/>
      </c>
      <c r="I35" s="6"/>
      <c r="J35" s="6"/>
      <c r="K35" s="6">
        <f t="shared" si="13"/>
        <v>0</v>
      </c>
      <c r="L35" s="1"/>
      <c r="M35" s="2"/>
    </row>
    <row r="36" spans="1:13" x14ac:dyDescent="0.25">
      <c r="A36" s="4" t="s">
        <v>120</v>
      </c>
      <c r="B36" s="5" t="str">
        <f t="shared" si="5"/>
        <v/>
      </c>
      <c r="C36" s="6"/>
      <c r="D36" s="6"/>
      <c r="E36" s="5" t="str">
        <f t="shared" si="11"/>
        <v/>
      </c>
      <c r="F36" s="6"/>
      <c r="G36" s="6"/>
      <c r="H36" s="5" t="str">
        <f t="shared" si="12"/>
        <v/>
      </c>
      <c r="I36" s="6"/>
      <c r="J36" s="6"/>
      <c r="K36" s="6">
        <f t="shared" si="13"/>
        <v>0</v>
      </c>
      <c r="L36" s="1"/>
      <c r="M36" s="2"/>
    </row>
    <row r="37" spans="1:13" x14ac:dyDescent="0.25">
      <c r="A37" s="9" t="s">
        <v>3</v>
      </c>
      <c r="B37" s="5" t="str">
        <f t="shared" si="5"/>
        <v/>
      </c>
      <c r="C37" s="11"/>
      <c r="D37" s="11"/>
      <c r="E37" s="10"/>
      <c r="F37" s="11"/>
      <c r="G37" s="11"/>
      <c r="H37" s="12"/>
      <c r="I37" s="11"/>
      <c r="J37" s="11"/>
      <c r="K37" s="13">
        <f>SUM(K32:K36)</f>
        <v>0</v>
      </c>
      <c r="L37" s="11"/>
      <c r="M37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bewilligte Tage" prompt="Bewilligte/n Wochentag/e bitte auswählen" xr:uid="{00000000-0002-0000-0200-000000000000}">
          <x14:formula1>
            <xm:f>Tabelle2!$A$6:$A$28</xm:f>
          </x14:formula1>
          <xm:sqref>G2:K2</xm:sqref>
        </x14:dataValidation>
        <x14:dataValidation type="list" allowBlank="1" showInputMessage="1" showErrorMessage="1" promptTitle="Grund bitte auswählen" prompt="Grund bitte auswählen" xr:uid="{00000000-0002-0000-0200-000001000000}">
          <x14:formula1>
            <xm:f>Tabelle2!$A$1:$A$4</xm:f>
          </x14:formula1>
          <xm:sqref>L11:L15 L18:L22 L25:L29 L4:L8 L32:L36</xm:sqref>
        </x14:dataValidation>
        <x14:dataValidation type="list" allowBlank="1" showInputMessage="1" showErrorMessage="1" xr:uid="{00000000-0002-0000-0200-000002000000}">
          <x14:formula1>
            <xm:f>Tabelle2!$A$1:$A$4</xm:f>
          </x14:formula1>
          <xm:sqref>L9:L10 L16:L17 L23:L24 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M12" sqref="M12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110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123</v>
      </c>
      <c r="B4" s="5" t="str">
        <f>IF(OR(C4="",D4=""),"",IF(C4&lt;=D4,SUM(+D4,-C4,),"24:00"-C4+D4))</f>
        <v/>
      </c>
      <c r="C4" s="6"/>
      <c r="D4" s="6"/>
      <c r="E4" s="5" t="str">
        <f t="shared" ref="E4:E15" si="0">IF(OR(F4="",G4=""),"",IF(F4&lt;=G4,SUM(+G4,-F4,),"24:00"-F4+G4))</f>
        <v/>
      </c>
      <c r="F4" s="6"/>
      <c r="G4" s="6"/>
      <c r="H4" s="5" t="str">
        <f t="shared" ref="H4:H15" si="1">IF(OR(I4="",J4=""),"",IF(I4&lt;=J4,SUM(+J4,-I4,),"24:00"-I4+J4))</f>
        <v/>
      </c>
      <c r="I4" s="6"/>
      <c r="J4" s="6"/>
      <c r="K4" s="6">
        <f t="shared" ref="K4:K15" si="2">SUM(B4,E4,H4)</f>
        <v>0</v>
      </c>
      <c r="L4" s="1"/>
      <c r="M4" s="2"/>
    </row>
    <row r="5" spans="1:13" x14ac:dyDescent="0.25">
      <c r="A5" s="4" t="s">
        <v>124</v>
      </c>
      <c r="B5" s="5" t="str">
        <f t="shared" ref="B5:B9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125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126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4" t="s">
        <v>127</v>
      </c>
      <c r="B8" s="5" t="str">
        <f t="shared" si="3"/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 t="s">
        <v>37</v>
      </c>
    </row>
    <row r="9" spans="1:13" x14ac:dyDescent="0.25">
      <c r="A9" s="9" t="s">
        <v>3</v>
      </c>
      <c r="B9" s="5" t="str">
        <f t="shared" si="3"/>
        <v/>
      </c>
      <c r="C9" s="11"/>
      <c r="D9" s="11"/>
      <c r="E9" s="10"/>
      <c r="F9" s="11"/>
      <c r="G9" s="11"/>
      <c r="H9" s="12"/>
      <c r="I9" s="11"/>
      <c r="J9" s="11"/>
      <c r="K9" s="13">
        <f>SUM(K4:K8)</f>
        <v>0</v>
      </c>
      <c r="L9" s="11"/>
      <c r="M9" s="14"/>
    </row>
    <row r="10" spans="1:13" x14ac:dyDescent="0.25">
      <c r="A10" s="16" t="s">
        <v>111</v>
      </c>
      <c r="B10" s="19"/>
      <c r="C10" s="20"/>
      <c r="D10" s="20"/>
      <c r="E10" s="19"/>
      <c r="F10" s="20"/>
      <c r="G10" s="20"/>
      <c r="H10" s="20"/>
      <c r="I10" s="20"/>
      <c r="J10" s="20"/>
      <c r="K10" s="19"/>
      <c r="L10" s="21"/>
      <c r="M10" s="22"/>
    </row>
    <row r="11" spans="1:13" x14ac:dyDescent="0.25">
      <c r="A11" s="4" t="s">
        <v>128</v>
      </c>
      <c r="B11" s="5" t="str">
        <f>IF(OR(C11="",D11=""),"",IF(C11&lt;=D11,SUM(+D11,-C11,),"24:00"-C11+D11))</f>
        <v/>
      </c>
      <c r="C11" s="6"/>
      <c r="D11" s="6"/>
      <c r="E11" s="5" t="str">
        <f t="shared" si="0"/>
        <v/>
      </c>
      <c r="F11" s="6"/>
      <c r="G11" s="6"/>
      <c r="H11" s="5" t="str">
        <f t="shared" si="1"/>
        <v/>
      </c>
      <c r="I11" s="6"/>
      <c r="J11" s="6"/>
      <c r="K11" s="6">
        <f t="shared" si="2"/>
        <v>0</v>
      </c>
      <c r="L11" s="1"/>
      <c r="M11" s="2" t="s">
        <v>37</v>
      </c>
    </row>
    <row r="12" spans="1:13" x14ac:dyDescent="0.25">
      <c r="A12" s="4" t="s">
        <v>129</v>
      </c>
      <c r="B12" s="5" t="str">
        <f t="shared" ref="B12:B16" si="4">IF(OR(C12="",D12=""),"",IF(C12&lt;=D12,SUM(+D12,-C12,),"24:00"-C12+D12))</f>
        <v/>
      </c>
      <c r="C12" s="6"/>
      <c r="D12" s="6"/>
      <c r="E12" s="5" t="str">
        <f t="shared" si="0"/>
        <v/>
      </c>
      <c r="F12" s="6"/>
      <c r="G12" s="6"/>
      <c r="H12" s="5" t="str">
        <f t="shared" si="1"/>
        <v/>
      </c>
      <c r="I12" s="6"/>
      <c r="J12" s="6"/>
      <c r="K12" s="6">
        <f t="shared" si="2"/>
        <v>0</v>
      </c>
      <c r="L12" s="1"/>
      <c r="M12" s="2"/>
    </row>
    <row r="13" spans="1:13" x14ac:dyDescent="0.25">
      <c r="A13" s="4" t="s">
        <v>130</v>
      </c>
      <c r="B13" s="5" t="str">
        <f t="shared" si="4"/>
        <v/>
      </c>
      <c r="C13" s="6"/>
      <c r="D13" s="6"/>
      <c r="E13" s="5" t="str">
        <f t="shared" si="0"/>
        <v/>
      </c>
      <c r="F13" s="6"/>
      <c r="G13" s="6"/>
      <c r="H13" s="5" t="str">
        <f t="shared" si="1"/>
        <v/>
      </c>
      <c r="I13" s="6"/>
      <c r="J13" s="6"/>
      <c r="K13" s="6">
        <f t="shared" si="2"/>
        <v>0</v>
      </c>
      <c r="L13" s="1"/>
      <c r="M13" s="2"/>
    </row>
    <row r="14" spans="1:13" x14ac:dyDescent="0.25">
      <c r="A14" s="4" t="s">
        <v>131</v>
      </c>
      <c r="B14" s="5" t="str">
        <f t="shared" si="4"/>
        <v/>
      </c>
      <c r="C14" s="6"/>
      <c r="D14" s="6"/>
      <c r="E14" s="5" t="str">
        <f t="shared" si="0"/>
        <v/>
      </c>
      <c r="F14" s="6"/>
      <c r="G14" s="6"/>
      <c r="H14" s="5" t="str">
        <f t="shared" si="1"/>
        <v/>
      </c>
      <c r="I14" s="6"/>
      <c r="J14" s="6"/>
      <c r="K14" s="6">
        <f t="shared" si="2"/>
        <v>0</v>
      </c>
      <c r="L14" s="1"/>
      <c r="M14" s="2"/>
    </row>
    <row r="15" spans="1:13" x14ac:dyDescent="0.25">
      <c r="A15" s="4" t="s">
        <v>132</v>
      </c>
      <c r="B15" s="5" t="str">
        <f t="shared" si="4"/>
        <v/>
      </c>
      <c r="C15" s="6"/>
      <c r="D15" s="6"/>
      <c r="E15" s="5" t="str">
        <f t="shared" si="0"/>
        <v/>
      </c>
      <c r="F15" s="6"/>
      <c r="G15" s="6"/>
      <c r="H15" s="5" t="str">
        <f t="shared" si="1"/>
        <v/>
      </c>
      <c r="I15" s="6"/>
      <c r="J15" s="6"/>
      <c r="K15" s="6">
        <f t="shared" si="2"/>
        <v>0</v>
      </c>
      <c r="L15" s="1"/>
      <c r="M15" s="2"/>
    </row>
    <row r="16" spans="1:13" x14ac:dyDescent="0.25">
      <c r="A16" s="9" t="s">
        <v>3</v>
      </c>
      <c r="B16" s="5" t="str">
        <f t="shared" si="4"/>
        <v/>
      </c>
      <c r="C16" s="11"/>
      <c r="D16" s="11"/>
      <c r="E16" s="10"/>
      <c r="F16" s="11"/>
      <c r="G16" s="11"/>
      <c r="H16" s="12"/>
      <c r="I16" s="11"/>
      <c r="J16" s="11"/>
      <c r="K16" s="13">
        <f>SUM(K11:K15)</f>
        <v>0</v>
      </c>
      <c r="L16" s="11"/>
      <c r="M16" s="14"/>
    </row>
    <row r="17" spans="1:13" x14ac:dyDescent="0.25">
      <c r="A17" s="3" t="s">
        <v>112</v>
      </c>
      <c r="B17" s="19"/>
      <c r="C17" s="8"/>
      <c r="D17" s="8"/>
      <c r="E17" s="7"/>
      <c r="F17" s="8"/>
      <c r="G17" s="8"/>
      <c r="H17" s="8"/>
      <c r="I17" s="8"/>
      <c r="J17" s="8"/>
      <c r="K17" s="7"/>
      <c r="L17" s="1"/>
      <c r="M17" s="2"/>
    </row>
    <row r="18" spans="1:13" x14ac:dyDescent="0.25">
      <c r="A18" s="4" t="s">
        <v>133</v>
      </c>
      <c r="B18" s="5" t="str">
        <f t="shared" ref="B18:B30" si="5">IF(OR(C18="",D18=""),"",IF(C18&lt;=D18,SUM(+D18,-C18,),"24:00"-C18+D18))</f>
        <v/>
      </c>
      <c r="C18" s="6"/>
      <c r="D18" s="6"/>
      <c r="E18" s="5" t="str">
        <f t="shared" ref="E18:E22" si="6">IF(OR(F18="",G18=""),"",IF(F18&lt;=G18,SUM(+G18,-F18,),"24:00"-F18+G18))</f>
        <v/>
      </c>
      <c r="F18" s="6"/>
      <c r="G18" s="6"/>
      <c r="H18" s="5" t="str">
        <f t="shared" ref="H18:H22" si="7">IF(OR(I18="",J18=""),"",IF(I18&lt;=J18,SUM(+J18,-I18,),"24:00"-I18+J18))</f>
        <v/>
      </c>
      <c r="I18" s="6"/>
      <c r="J18" s="6"/>
      <c r="K18" s="6">
        <f t="shared" ref="K18:K22" si="8">SUM(B18,E18,H18)</f>
        <v>0</v>
      </c>
      <c r="L18" s="1"/>
      <c r="M18" s="2"/>
    </row>
    <row r="19" spans="1:13" x14ac:dyDescent="0.25">
      <c r="A19" s="4" t="s">
        <v>134</v>
      </c>
      <c r="B19" s="5" t="str">
        <f t="shared" si="5"/>
        <v/>
      </c>
      <c r="C19" s="6"/>
      <c r="D19" s="6"/>
      <c r="E19" s="5" t="str">
        <f t="shared" si="6"/>
        <v/>
      </c>
      <c r="F19" s="6"/>
      <c r="G19" s="6"/>
      <c r="H19" s="5" t="str">
        <f t="shared" si="7"/>
        <v/>
      </c>
      <c r="I19" s="6"/>
      <c r="J19" s="6"/>
      <c r="K19" s="6">
        <f t="shared" si="8"/>
        <v>0</v>
      </c>
      <c r="L19" s="1"/>
      <c r="M19" s="2"/>
    </row>
    <row r="20" spans="1:13" x14ac:dyDescent="0.25">
      <c r="A20" s="4" t="s">
        <v>135</v>
      </c>
      <c r="B20" s="5" t="str">
        <f t="shared" si="5"/>
        <v/>
      </c>
      <c r="C20" s="6"/>
      <c r="D20" s="6"/>
      <c r="E20" s="5" t="str">
        <f t="shared" si="6"/>
        <v/>
      </c>
      <c r="F20" s="6"/>
      <c r="G20" s="6"/>
      <c r="H20" s="5" t="str">
        <f t="shared" si="7"/>
        <v/>
      </c>
      <c r="I20" s="6"/>
      <c r="J20" s="6"/>
      <c r="K20" s="6">
        <f t="shared" si="8"/>
        <v>0</v>
      </c>
      <c r="L20" s="1"/>
      <c r="M20" s="2"/>
    </row>
    <row r="21" spans="1:13" x14ac:dyDescent="0.25">
      <c r="A21" s="4" t="s">
        <v>136</v>
      </c>
      <c r="B21" s="5" t="str">
        <f t="shared" si="5"/>
        <v/>
      </c>
      <c r="C21" s="6"/>
      <c r="D21" s="6"/>
      <c r="E21" s="5" t="str">
        <f t="shared" si="6"/>
        <v/>
      </c>
      <c r="F21" s="6"/>
      <c r="G21" s="6"/>
      <c r="H21" s="5" t="str">
        <f t="shared" si="7"/>
        <v/>
      </c>
      <c r="I21" s="6"/>
      <c r="J21" s="6"/>
      <c r="K21" s="6">
        <f t="shared" si="8"/>
        <v>0</v>
      </c>
      <c r="L21" s="1"/>
      <c r="M21" s="2"/>
    </row>
    <row r="22" spans="1:13" x14ac:dyDescent="0.25">
      <c r="A22" s="4" t="s">
        <v>137</v>
      </c>
      <c r="B22" s="5" t="str">
        <f t="shared" si="5"/>
        <v/>
      </c>
      <c r="C22" s="6"/>
      <c r="D22" s="6"/>
      <c r="E22" s="5" t="str">
        <f t="shared" si="6"/>
        <v/>
      </c>
      <c r="F22" s="6"/>
      <c r="G22" s="6"/>
      <c r="H22" s="5" t="str">
        <f t="shared" si="7"/>
        <v/>
      </c>
      <c r="I22" s="6"/>
      <c r="J22" s="6"/>
      <c r="K22" s="6">
        <f t="shared" si="8"/>
        <v>0</v>
      </c>
      <c r="L22" s="1"/>
      <c r="M22" s="2"/>
    </row>
    <row r="23" spans="1:13" x14ac:dyDescent="0.25">
      <c r="A23" s="9" t="s">
        <v>3</v>
      </c>
      <c r="B23" s="5" t="str">
        <f t="shared" si="5"/>
        <v/>
      </c>
      <c r="C23" s="11"/>
      <c r="D23" s="11"/>
      <c r="E23" s="10"/>
      <c r="F23" s="11"/>
      <c r="G23" s="11"/>
      <c r="H23" s="12"/>
      <c r="I23" s="11"/>
      <c r="J23" s="11"/>
      <c r="K23" s="13">
        <f>SUM(K18:K22)</f>
        <v>0</v>
      </c>
      <c r="L23" s="11"/>
      <c r="M23" s="14"/>
    </row>
    <row r="24" spans="1:13" x14ac:dyDescent="0.25">
      <c r="A24" s="3" t="s">
        <v>113</v>
      </c>
      <c r="B24" s="19"/>
      <c r="C24" s="8"/>
      <c r="D24" s="8"/>
      <c r="E24" s="7"/>
      <c r="F24" s="8"/>
      <c r="G24" s="8"/>
      <c r="H24" s="8"/>
      <c r="I24" s="8"/>
      <c r="J24" s="8"/>
      <c r="K24" s="7"/>
      <c r="L24" s="1"/>
      <c r="M24" s="2"/>
    </row>
    <row r="25" spans="1:13" x14ac:dyDescent="0.25">
      <c r="A25" s="4" t="s">
        <v>138</v>
      </c>
      <c r="B25" s="5" t="str">
        <f t="shared" ref="B25" si="9">IF(OR(C25="",D25=""),"",IF(C25&lt;=D25,SUM(+D25,-C25,),"24:00"-C25+D25))</f>
        <v/>
      </c>
      <c r="C25" s="6"/>
      <c r="D25" s="6"/>
      <c r="E25" s="5" t="str">
        <f t="shared" ref="E25:E29" si="10">IF(OR(F25="",G25=""),"",IF(F25&lt;=G25,SUM(+G25,-F25,),"24:00"-F25+G25))</f>
        <v/>
      </c>
      <c r="F25" s="6"/>
      <c r="G25" s="6"/>
      <c r="H25" s="5" t="str">
        <f t="shared" ref="H25:H29" si="11">IF(OR(I25="",J25=""),"",IF(I25&lt;=J25,SUM(+J25,-I25,),"24:00"-I25+J25))</f>
        <v/>
      </c>
      <c r="I25" s="6"/>
      <c r="J25" s="6"/>
      <c r="K25" s="6">
        <f t="shared" ref="K25:K29" si="12">SUM(B25,E25,H25)</f>
        <v>0</v>
      </c>
      <c r="L25" s="1"/>
      <c r="M25" s="2"/>
    </row>
    <row r="26" spans="1:13" x14ac:dyDescent="0.25">
      <c r="A26" s="4" t="s">
        <v>139</v>
      </c>
      <c r="B26" s="5" t="str">
        <f t="shared" si="5"/>
        <v/>
      </c>
      <c r="C26" s="6"/>
      <c r="D26" s="6"/>
      <c r="E26" s="5" t="str">
        <f t="shared" si="10"/>
        <v/>
      </c>
      <c r="F26" s="6"/>
      <c r="G26" s="6"/>
      <c r="H26" s="5" t="str">
        <f t="shared" si="11"/>
        <v/>
      </c>
      <c r="I26" s="6"/>
      <c r="J26" s="6"/>
      <c r="K26" s="6">
        <f t="shared" si="12"/>
        <v>0</v>
      </c>
      <c r="L26" s="1"/>
      <c r="M26" s="2"/>
    </row>
    <row r="27" spans="1:13" x14ac:dyDescent="0.25">
      <c r="A27" s="4" t="s">
        <v>140</v>
      </c>
      <c r="B27" s="5" t="str">
        <f t="shared" si="5"/>
        <v/>
      </c>
      <c r="C27" s="6"/>
      <c r="D27" s="6"/>
      <c r="E27" s="5" t="str">
        <f t="shared" si="10"/>
        <v/>
      </c>
      <c r="F27" s="6"/>
      <c r="G27" s="6"/>
      <c r="H27" s="5" t="str">
        <f t="shared" si="11"/>
        <v/>
      </c>
      <c r="I27" s="6"/>
      <c r="J27" s="6"/>
      <c r="K27" s="6">
        <f t="shared" si="12"/>
        <v>0</v>
      </c>
      <c r="L27" s="1"/>
      <c r="M27" s="2"/>
    </row>
    <row r="28" spans="1:13" x14ac:dyDescent="0.25">
      <c r="A28" s="4" t="s">
        <v>141</v>
      </c>
      <c r="B28" s="5" t="str">
        <f t="shared" si="5"/>
        <v/>
      </c>
      <c r="C28" s="6"/>
      <c r="D28" s="6"/>
      <c r="E28" s="5" t="str">
        <f t="shared" si="10"/>
        <v/>
      </c>
      <c r="F28" s="6"/>
      <c r="G28" s="6"/>
      <c r="H28" s="5" t="str">
        <f t="shared" si="11"/>
        <v/>
      </c>
      <c r="I28" s="6"/>
      <c r="J28" s="6"/>
      <c r="K28" s="6">
        <f t="shared" si="12"/>
        <v>0</v>
      </c>
      <c r="L28" s="1"/>
      <c r="M28" s="2"/>
    </row>
    <row r="29" spans="1:13" x14ac:dyDescent="0.25">
      <c r="A29" s="4" t="s">
        <v>142</v>
      </c>
      <c r="B29" s="5" t="str">
        <f t="shared" si="5"/>
        <v/>
      </c>
      <c r="C29" s="6"/>
      <c r="D29" s="6"/>
      <c r="E29" s="5" t="str">
        <f t="shared" si="10"/>
        <v/>
      </c>
      <c r="F29" s="6"/>
      <c r="G29" s="6"/>
      <c r="H29" s="5" t="str">
        <f t="shared" si="11"/>
        <v/>
      </c>
      <c r="I29" s="6"/>
      <c r="J29" s="6"/>
      <c r="K29" s="6">
        <f t="shared" si="12"/>
        <v>0</v>
      </c>
      <c r="L29" s="1"/>
      <c r="M29" s="2"/>
    </row>
    <row r="30" spans="1:13" x14ac:dyDescent="0.25">
      <c r="A30" s="9" t="s">
        <v>3</v>
      </c>
      <c r="B30" s="5" t="str">
        <f t="shared" si="5"/>
        <v/>
      </c>
      <c r="C30" s="11"/>
      <c r="D30" s="11"/>
      <c r="E30" s="10"/>
      <c r="F30" s="11"/>
      <c r="G30" s="11"/>
      <c r="H30" s="12"/>
      <c r="I30" s="11"/>
      <c r="J30" s="11"/>
      <c r="K30" s="13">
        <f>SUM(K25:K29)</f>
        <v>0</v>
      </c>
      <c r="L30" s="11"/>
      <c r="M30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Tabelle2!$A$1:$A$4</xm:f>
          </x14:formula1>
          <xm:sqref>L9:L10 L16:L17 L24</xm:sqref>
        </x14:dataValidation>
        <x14:dataValidation type="list" allowBlank="1" showInputMessage="1" showErrorMessage="1" promptTitle="Grund bitte auswählen" prompt="Grund bitte auswählen" xr:uid="{00000000-0002-0000-0300-000001000000}">
          <x14:formula1>
            <xm:f>Tabelle2!$A$1:$A$4</xm:f>
          </x14:formula1>
          <xm:sqref>L4:L8 L11:L15 L18:L22 L25:L29</xm:sqref>
        </x14:dataValidation>
        <x14:dataValidation type="list" allowBlank="1" showInputMessage="1" showErrorMessage="1" promptTitle="bewilligte Tage" prompt="Bewilligte/n Wochentag/e bitte auswählen" xr:uid="{00000000-0002-0000-0300-000002000000}">
          <x14:formula1>
            <xm:f>Tabelle2!$A$6:$A$28</xm:f>
          </x14:formula1>
          <xm:sqref>G2:K2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"/>
  <sheetViews>
    <sheetView workbookViewId="0">
      <selection activeCell="G2" sqref="G2:K2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143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147</v>
      </c>
      <c r="B4" s="5" t="str">
        <f>IF(OR(C4="",D4=""),"",IF(C4&lt;=D4,SUM(+D4,-C4,),"24:00"-C4+D4))</f>
        <v/>
      </c>
      <c r="C4" s="6"/>
      <c r="D4" s="6"/>
      <c r="E4" s="5" t="str">
        <f t="shared" ref="E4:E15" si="0">IF(OR(F4="",G4=""),"",IF(F4&lt;=G4,SUM(+G4,-F4,),"24:00"-F4+G4))</f>
        <v/>
      </c>
      <c r="F4" s="6"/>
      <c r="G4" s="6"/>
      <c r="H4" s="5" t="str">
        <f t="shared" ref="H4:H15" si="1">IF(OR(I4="",J4=""),"",IF(I4&lt;=J4,SUM(+J4,-I4,),"24:00"-I4+J4))</f>
        <v/>
      </c>
      <c r="I4" s="6"/>
      <c r="J4" s="6"/>
      <c r="K4" s="6">
        <f t="shared" ref="K4:K15" si="2">SUM(B4,E4,H4)</f>
        <v>0</v>
      </c>
      <c r="L4" s="1"/>
      <c r="M4" s="2" t="s">
        <v>37</v>
      </c>
    </row>
    <row r="5" spans="1:13" x14ac:dyDescent="0.25">
      <c r="A5" s="4" t="s">
        <v>148</v>
      </c>
      <c r="B5" s="5" t="str">
        <f t="shared" ref="B5:B9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149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150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4" t="s">
        <v>151</v>
      </c>
      <c r="B8" s="5" t="str">
        <f t="shared" si="3"/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/>
    </row>
    <row r="9" spans="1:13" x14ac:dyDescent="0.25">
      <c r="A9" s="9" t="s">
        <v>3</v>
      </c>
      <c r="B9" s="5" t="str">
        <f t="shared" si="3"/>
        <v/>
      </c>
      <c r="C9" s="11"/>
      <c r="D9" s="11"/>
      <c r="E9" s="10"/>
      <c r="F9" s="11"/>
      <c r="G9" s="11"/>
      <c r="H9" s="12"/>
      <c r="I9" s="11"/>
      <c r="J9" s="11"/>
      <c r="K9" s="13">
        <f>SUM(K4:K8)</f>
        <v>0</v>
      </c>
      <c r="L9" s="11"/>
      <c r="M9" s="14"/>
    </row>
    <row r="10" spans="1:13" x14ac:dyDescent="0.25">
      <c r="A10" s="16" t="s">
        <v>144</v>
      </c>
      <c r="B10" s="19"/>
      <c r="C10" s="20"/>
      <c r="D10" s="20"/>
      <c r="E10" s="19"/>
      <c r="F10" s="20"/>
      <c r="G10" s="20"/>
      <c r="H10" s="20"/>
      <c r="I10" s="20"/>
      <c r="J10" s="20"/>
      <c r="K10" s="19"/>
      <c r="L10" s="21"/>
      <c r="M10" s="22"/>
    </row>
    <row r="11" spans="1:13" x14ac:dyDescent="0.25">
      <c r="A11" s="4" t="s">
        <v>152</v>
      </c>
      <c r="B11" s="5" t="str">
        <f>IF(OR(C11="",D11=""),"",IF(C11&lt;=D11,SUM(+D11,-C11,),"24:00"-C11+D11))</f>
        <v/>
      </c>
      <c r="C11" s="6"/>
      <c r="D11" s="6"/>
      <c r="E11" s="5" t="str">
        <f t="shared" si="0"/>
        <v/>
      </c>
      <c r="F11" s="6"/>
      <c r="G11" s="6"/>
      <c r="H11" s="5" t="str">
        <f t="shared" si="1"/>
        <v/>
      </c>
      <c r="I11" s="6"/>
      <c r="J11" s="6"/>
      <c r="K11" s="6">
        <f t="shared" si="2"/>
        <v>0</v>
      </c>
      <c r="L11" s="1"/>
      <c r="M11" s="2"/>
    </row>
    <row r="12" spans="1:13" x14ac:dyDescent="0.25">
      <c r="A12" s="4" t="s">
        <v>153</v>
      </c>
      <c r="B12" s="5" t="str">
        <f t="shared" ref="B12:B16" si="4">IF(OR(C12="",D12=""),"",IF(C12&lt;=D12,SUM(+D12,-C12,),"24:00"-C12+D12))</f>
        <v/>
      </c>
      <c r="C12" s="6"/>
      <c r="D12" s="6"/>
      <c r="E12" s="5" t="str">
        <f t="shared" si="0"/>
        <v/>
      </c>
      <c r="F12" s="6"/>
      <c r="G12" s="6"/>
      <c r="H12" s="5" t="str">
        <f t="shared" si="1"/>
        <v/>
      </c>
      <c r="I12" s="6"/>
      <c r="J12" s="6"/>
      <c r="K12" s="6">
        <f t="shared" si="2"/>
        <v>0</v>
      </c>
      <c r="L12" s="1"/>
      <c r="M12" s="2"/>
    </row>
    <row r="13" spans="1:13" x14ac:dyDescent="0.25">
      <c r="A13" s="4" t="s">
        <v>154</v>
      </c>
      <c r="B13" s="5" t="str">
        <f t="shared" si="4"/>
        <v/>
      </c>
      <c r="C13" s="6"/>
      <c r="D13" s="6"/>
      <c r="E13" s="5" t="str">
        <f t="shared" si="0"/>
        <v/>
      </c>
      <c r="F13" s="6"/>
      <c r="G13" s="6"/>
      <c r="H13" s="5" t="str">
        <f t="shared" si="1"/>
        <v/>
      </c>
      <c r="I13" s="6"/>
      <c r="J13" s="6"/>
      <c r="K13" s="6">
        <f t="shared" si="2"/>
        <v>0</v>
      </c>
      <c r="L13" s="1"/>
      <c r="M13" s="2"/>
    </row>
    <row r="14" spans="1:13" x14ac:dyDescent="0.25">
      <c r="A14" s="4" t="s">
        <v>155</v>
      </c>
      <c r="B14" s="5" t="str">
        <f t="shared" si="4"/>
        <v/>
      </c>
      <c r="C14" s="6"/>
      <c r="D14" s="6"/>
      <c r="E14" s="5" t="str">
        <f t="shared" si="0"/>
        <v/>
      </c>
      <c r="F14" s="6"/>
      <c r="G14" s="6"/>
      <c r="H14" s="5" t="str">
        <f t="shared" si="1"/>
        <v/>
      </c>
      <c r="I14" s="6"/>
      <c r="J14" s="6"/>
      <c r="K14" s="6">
        <f t="shared" si="2"/>
        <v>0</v>
      </c>
      <c r="L14" s="1"/>
      <c r="M14" s="2"/>
    </row>
    <row r="15" spans="1:13" x14ac:dyDescent="0.25">
      <c r="A15" s="4" t="s">
        <v>156</v>
      </c>
      <c r="B15" s="5" t="str">
        <f t="shared" si="4"/>
        <v/>
      </c>
      <c r="C15" s="6"/>
      <c r="D15" s="6"/>
      <c r="E15" s="5" t="str">
        <f t="shared" si="0"/>
        <v/>
      </c>
      <c r="F15" s="6"/>
      <c r="G15" s="6"/>
      <c r="H15" s="5" t="str">
        <f t="shared" si="1"/>
        <v/>
      </c>
      <c r="I15" s="6"/>
      <c r="J15" s="6"/>
      <c r="K15" s="6">
        <f t="shared" si="2"/>
        <v>0</v>
      </c>
      <c r="L15" s="1"/>
      <c r="M15" s="2"/>
    </row>
    <row r="16" spans="1:13" x14ac:dyDescent="0.25">
      <c r="A16" s="9" t="s">
        <v>3</v>
      </c>
      <c r="B16" s="5" t="str">
        <f t="shared" si="4"/>
        <v/>
      </c>
      <c r="C16" s="11"/>
      <c r="D16" s="11"/>
      <c r="E16" s="10"/>
      <c r="F16" s="11"/>
      <c r="G16" s="11"/>
      <c r="H16" s="12"/>
      <c r="I16" s="11"/>
      <c r="J16" s="11"/>
      <c r="K16" s="13">
        <f>SUM(K11:K15)</f>
        <v>0</v>
      </c>
      <c r="L16" s="11"/>
      <c r="M16" s="14"/>
    </row>
    <row r="17" spans="1:13" x14ac:dyDescent="0.25">
      <c r="A17" s="3" t="s">
        <v>145</v>
      </c>
      <c r="B17" s="19"/>
      <c r="C17" s="8"/>
      <c r="D17" s="8"/>
      <c r="E17" s="7"/>
      <c r="F17" s="8"/>
      <c r="G17" s="8"/>
      <c r="H17" s="8"/>
      <c r="I17" s="8"/>
      <c r="J17" s="8"/>
      <c r="K17" s="7"/>
      <c r="L17" s="1"/>
      <c r="M17" s="2"/>
    </row>
    <row r="18" spans="1:13" x14ac:dyDescent="0.25">
      <c r="A18" s="4" t="s">
        <v>157</v>
      </c>
      <c r="B18" s="5" t="str">
        <f t="shared" ref="B18:B35" si="5">IF(OR(C18="",D18=""),"",IF(C18&lt;=D18,SUM(+D18,-C18,),"24:00"-C18+D18))</f>
        <v/>
      </c>
      <c r="C18" s="6"/>
      <c r="D18" s="6"/>
      <c r="E18" s="5" t="str">
        <f t="shared" ref="E18:E22" si="6">IF(OR(F18="",G18=""),"",IF(F18&lt;=G18,SUM(+G18,-F18,),"24:00"-F18+G18))</f>
        <v/>
      </c>
      <c r="F18" s="6"/>
      <c r="G18" s="6"/>
      <c r="H18" s="5" t="str">
        <f t="shared" ref="H18:H22" si="7">IF(OR(I18="",J18=""),"",IF(I18&lt;=J18,SUM(+J18,-I18,),"24:00"-I18+J18))</f>
        <v/>
      </c>
      <c r="I18" s="6"/>
      <c r="J18" s="6"/>
      <c r="K18" s="6">
        <f t="shared" ref="K18:K22" si="8">SUM(B18,E18,H18)</f>
        <v>0</v>
      </c>
      <c r="L18" s="1"/>
      <c r="M18" s="2"/>
    </row>
    <row r="19" spans="1:13" x14ac:dyDescent="0.25">
      <c r="A19" s="4" t="s">
        <v>158</v>
      </c>
      <c r="B19" s="5" t="str">
        <f t="shared" si="5"/>
        <v/>
      </c>
      <c r="C19" s="6"/>
      <c r="D19" s="6"/>
      <c r="E19" s="5" t="str">
        <f t="shared" si="6"/>
        <v/>
      </c>
      <c r="F19" s="6"/>
      <c r="G19" s="6"/>
      <c r="H19" s="5" t="str">
        <f t="shared" si="7"/>
        <v/>
      </c>
      <c r="I19" s="6"/>
      <c r="J19" s="6"/>
      <c r="K19" s="6">
        <f t="shared" si="8"/>
        <v>0</v>
      </c>
      <c r="L19" s="1"/>
      <c r="M19" s="2"/>
    </row>
    <row r="20" spans="1:13" x14ac:dyDescent="0.25">
      <c r="A20" s="4" t="s">
        <v>159</v>
      </c>
      <c r="B20" s="5" t="str">
        <f t="shared" si="5"/>
        <v/>
      </c>
      <c r="C20" s="6"/>
      <c r="D20" s="6"/>
      <c r="E20" s="5" t="str">
        <f t="shared" si="6"/>
        <v/>
      </c>
      <c r="F20" s="6"/>
      <c r="G20" s="6"/>
      <c r="H20" s="5" t="str">
        <f t="shared" si="7"/>
        <v/>
      </c>
      <c r="I20" s="6"/>
      <c r="J20" s="6"/>
      <c r="K20" s="6">
        <f t="shared" si="8"/>
        <v>0</v>
      </c>
      <c r="L20" s="1"/>
      <c r="M20" s="2"/>
    </row>
    <row r="21" spans="1:13" x14ac:dyDescent="0.25">
      <c r="A21" s="4" t="s">
        <v>160</v>
      </c>
      <c r="B21" s="5" t="str">
        <f t="shared" si="5"/>
        <v/>
      </c>
      <c r="C21" s="6"/>
      <c r="D21" s="6"/>
      <c r="E21" s="5" t="str">
        <f t="shared" si="6"/>
        <v/>
      </c>
      <c r="F21" s="6"/>
      <c r="G21" s="6"/>
      <c r="H21" s="5" t="str">
        <f t="shared" si="7"/>
        <v/>
      </c>
      <c r="I21" s="6"/>
      <c r="J21" s="6"/>
      <c r="K21" s="6">
        <f t="shared" si="8"/>
        <v>0</v>
      </c>
      <c r="L21" s="1"/>
      <c r="M21" s="2" t="s">
        <v>37</v>
      </c>
    </row>
    <row r="22" spans="1:13" x14ac:dyDescent="0.25">
      <c r="A22" s="4" t="s">
        <v>161</v>
      </c>
      <c r="B22" s="5" t="str">
        <f t="shared" si="5"/>
        <v/>
      </c>
      <c r="C22" s="6"/>
      <c r="D22" s="6"/>
      <c r="E22" s="5" t="str">
        <f t="shared" si="6"/>
        <v/>
      </c>
      <c r="F22" s="6"/>
      <c r="G22" s="6"/>
      <c r="H22" s="5" t="str">
        <f t="shared" si="7"/>
        <v/>
      </c>
      <c r="I22" s="6"/>
      <c r="J22" s="6"/>
      <c r="K22" s="6">
        <f t="shared" si="8"/>
        <v>0</v>
      </c>
      <c r="L22" s="1"/>
      <c r="M22" s="2"/>
    </row>
    <row r="23" spans="1:13" x14ac:dyDescent="0.25">
      <c r="A23" s="9" t="s">
        <v>3</v>
      </c>
      <c r="B23" s="5" t="str">
        <f t="shared" si="5"/>
        <v/>
      </c>
      <c r="C23" s="11"/>
      <c r="D23" s="11"/>
      <c r="E23" s="10"/>
      <c r="F23" s="11"/>
      <c r="G23" s="11"/>
      <c r="H23" s="12"/>
      <c r="I23" s="11"/>
      <c r="J23" s="11"/>
      <c r="K23" s="13">
        <f>SUM(K18:K22)</f>
        <v>0</v>
      </c>
      <c r="L23" s="11"/>
      <c r="M23" s="14"/>
    </row>
    <row r="24" spans="1:13" x14ac:dyDescent="0.25">
      <c r="A24" s="3" t="s">
        <v>146</v>
      </c>
      <c r="B24" s="19"/>
      <c r="C24" s="8"/>
      <c r="D24" s="8"/>
      <c r="E24" s="7"/>
      <c r="F24" s="8"/>
      <c r="G24" s="8"/>
      <c r="H24" s="8"/>
      <c r="I24" s="8"/>
      <c r="J24" s="8"/>
      <c r="K24" s="7"/>
      <c r="L24" s="1"/>
      <c r="M24" s="2"/>
    </row>
    <row r="25" spans="1:13" x14ac:dyDescent="0.25">
      <c r="A25" s="4" t="s">
        <v>162</v>
      </c>
      <c r="B25" s="5" t="str">
        <f t="shared" ref="B25" si="9">IF(OR(C25="",D25=""),"",IF(C25&lt;=D25,SUM(+D25,-C25,),"24:00"-C25+D25))</f>
        <v/>
      </c>
      <c r="C25" s="6"/>
      <c r="D25" s="6"/>
      <c r="E25" s="5" t="str">
        <f t="shared" ref="E25:E29" si="10">IF(OR(F25="",G25=""),"",IF(F25&lt;=G25,SUM(+G25,-F25,),"24:00"-F25+G25))</f>
        <v/>
      </c>
      <c r="F25" s="6"/>
      <c r="G25" s="6"/>
      <c r="H25" s="5" t="str">
        <f t="shared" ref="H25:H29" si="11">IF(OR(I25="",J25=""),"",IF(I25&lt;=J25,SUM(+J25,-I25,),"24:00"-I25+J25))</f>
        <v/>
      </c>
      <c r="I25" s="6"/>
      <c r="J25" s="6"/>
      <c r="K25" s="6">
        <f t="shared" ref="K25:K29" si="12">SUM(B25,E25,H25)</f>
        <v>0</v>
      </c>
      <c r="L25" s="1"/>
      <c r="M25" s="2"/>
    </row>
    <row r="26" spans="1:13" x14ac:dyDescent="0.25">
      <c r="A26" s="4" t="s">
        <v>163</v>
      </c>
      <c r="B26" s="5" t="str">
        <f t="shared" si="5"/>
        <v/>
      </c>
      <c r="C26" s="6"/>
      <c r="D26" s="6"/>
      <c r="E26" s="5" t="str">
        <f t="shared" si="10"/>
        <v/>
      </c>
      <c r="F26" s="6"/>
      <c r="G26" s="6"/>
      <c r="H26" s="5" t="str">
        <f t="shared" si="11"/>
        <v/>
      </c>
      <c r="I26" s="6"/>
      <c r="J26" s="6"/>
      <c r="K26" s="6">
        <f t="shared" si="12"/>
        <v>0</v>
      </c>
      <c r="L26" s="1"/>
      <c r="M26" s="2"/>
    </row>
    <row r="27" spans="1:13" x14ac:dyDescent="0.25">
      <c r="A27" s="4" t="s">
        <v>164</v>
      </c>
      <c r="B27" s="5" t="str">
        <f t="shared" si="5"/>
        <v/>
      </c>
      <c r="C27" s="6"/>
      <c r="D27" s="6"/>
      <c r="E27" s="5" t="str">
        <f t="shared" si="10"/>
        <v/>
      </c>
      <c r="F27" s="6"/>
      <c r="G27" s="6"/>
      <c r="H27" s="5" t="str">
        <f t="shared" si="11"/>
        <v/>
      </c>
      <c r="I27" s="6"/>
      <c r="J27" s="6"/>
      <c r="K27" s="6">
        <f t="shared" si="12"/>
        <v>0</v>
      </c>
      <c r="L27" s="1"/>
      <c r="M27" s="2"/>
    </row>
    <row r="28" spans="1:13" x14ac:dyDescent="0.25">
      <c r="A28" s="4" t="s">
        <v>165</v>
      </c>
      <c r="B28" s="5" t="str">
        <f t="shared" si="5"/>
        <v/>
      </c>
      <c r="C28" s="6"/>
      <c r="D28" s="6"/>
      <c r="E28" s="5" t="str">
        <f t="shared" si="10"/>
        <v/>
      </c>
      <c r="F28" s="6"/>
      <c r="G28" s="6"/>
      <c r="H28" s="5" t="str">
        <f t="shared" si="11"/>
        <v/>
      </c>
      <c r="I28" s="6"/>
      <c r="J28" s="6"/>
      <c r="K28" s="6">
        <f t="shared" si="12"/>
        <v>0</v>
      </c>
      <c r="L28" s="1"/>
      <c r="M28" s="2"/>
    </row>
    <row r="29" spans="1:13" x14ac:dyDescent="0.25">
      <c r="A29" s="4" t="s">
        <v>166</v>
      </c>
      <c r="B29" s="5" t="str">
        <f t="shared" si="5"/>
        <v/>
      </c>
      <c r="C29" s="6"/>
      <c r="D29" s="6"/>
      <c r="E29" s="5" t="str">
        <f t="shared" si="10"/>
        <v/>
      </c>
      <c r="F29" s="6"/>
      <c r="G29" s="6"/>
      <c r="H29" s="5" t="str">
        <f t="shared" si="11"/>
        <v/>
      </c>
      <c r="I29" s="6"/>
      <c r="J29" s="6"/>
      <c r="K29" s="6">
        <f t="shared" si="12"/>
        <v>0</v>
      </c>
      <c r="L29" s="1"/>
      <c r="M29" s="2"/>
    </row>
    <row r="30" spans="1:13" x14ac:dyDescent="0.25">
      <c r="A30" s="9" t="s">
        <v>3</v>
      </c>
      <c r="B30" s="5" t="str">
        <f t="shared" si="5"/>
        <v/>
      </c>
      <c r="C30" s="11"/>
      <c r="D30" s="11"/>
      <c r="E30" s="10"/>
      <c r="F30" s="11"/>
      <c r="G30" s="11"/>
      <c r="H30" s="12"/>
      <c r="I30" s="11"/>
      <c r="J30" s="11"/>
      <c r="K30" s="13">
        <f>SUM(K25:K29)</f>
        <v>0</v>
      </c>
      <c r="L30" s="11"/>
      <c r="M30" s="14"/>
    </row>
    <row r="31" spans="1:13" x14ac:dyDescent="0.25">
      <c r="A31" s="3" t="s">
        <v>167</v>
      </c>
      <c r="B31" s="19"/>
      <c r="C31" s="8"/>
      <c r="D31" s="8"/>
      <c r="E31" s="7"/>
      <c r="F31" s="8"/>
      <c r="G31" s="8"/>
      <c r="H31" s="8"/>
      <c r="I31" s="8"/>
      <c r="J31" s="8"/>
      <c r="K31" s="7"/>
      <c r="L31" s="1"/>
      <c r="M31" s="2"/>
    </row>
    <row r="32" spans="1:13" x14ac:dyDescent="0.25">
      <c r="A32" s="4" t="s">
        <v>168</v>
      </c>
      <c r="B32" s="5" t="str">
        <f t="shared" ref="B32" si="13">IF(OR(C32="",D32=""),"",IF(C32&lt;=D32,SUM(+D32,-C32,),"24:00"-C32+D32))</f>
        <v/>
      </c>
      <c r="C32" s="6"/>
      <c r="D32" s="6"/>
      <c r="E32" s="5" t="str">
        <f t="shared" ref="E32:E34" si="14">IF(OR(F32="",G32=""),"",IF(F32&lt;=G32,SUM(+G32,-F32,),"24:00"-F32+G32))</f>
        <v/>
      </c>
      <c r="F32" s="6"/>
      <c r="G32" s="6"/>
      <c r="H32" s="5" t="str">
        <f t="shared" ref="H32:H34" si="15">IF(OR(I32="",J32=""),"",IF(I32&lt;=J32,SUM(+J32,-I32,),"24:00"-I32+J32))</f>
        <v/>
      </c>
      <c r="I32" s="6"/>
      <c r="J32" s="6"/>
      <c r="K32" s="6">
        <f t="shared" ref="K32:K34" si="16">SUM(B32,E32,H32)</f>
        <v>0</v>
      </c>
      <c r="L32" s="1"/>
      <c r="M32" s="2"/>
    </row>
    <row r="33" spans="1:13" x14ac:dyDescent="0.25">
      <c r="A33" s="4" t="s">
        <v>169</v>
      </c>
      <c r="B33" s="5" t="str">
        <f t="shared" si="5"/>
        <v/>
      </c>
      <c r="C33" s="6"/>
      <c r="D33" s="6"/>
      <c r="E33" s="5" t="str">
        <f t="shared" si="14"/>
        <v/>
      </c>
      <c r="F33" s="6"/>
      <c r="G33" s="6"/>
      <c r="H33" s="5" t="str">
        <f t="shared" si="15"/>
        <v/>
      </c>
      <c r="I33" s="6"/>
      <c r="J33" s="6"/>
      <c r="K33" s="6">
        <f t="shared" si="16"/>
        <v>0</v>
      </c>
      <c r="L33" s="1"/>
      <c r="M33" s="2"/>
    </row>
    <row r="34" spans="1:13" x14ac:dyDescent="0.25">
      <c r="A34" s="4" t="s">
        <v>170</v>
      </c>
      <c r="B34" s="5" t="str">
        <f t="shared" si="5"/>
        <v/>
      </c>
      <c r="C34" s="6"/>
      <c r="D34" s="6"/>
      <c r="E34" s="5" t="str">
        <f t="shared" si="14"/>
        <v/>
      </c>
      <c r="F34" s="6"/>
      <c r="G34" s="6"/>
      <c r="H34" s="5" t="str">
        <f t="shared" si="15"/>
        <v/>
      </c>
      <c r="I34" s="6"/>
      <c r="J34" s="6"/>
      <c r="K34" s="6">
        <f t="shared" si="16"/>
        <v>0</v>
      </c>
      <c r="L34" s="1"/>
      <c r="M34" s="2"/>
    </row>
    <row r="35" spans="1:13" x14ac:dyDescent="0.25">
      <c r="A35" s="9" t="s">
        <v>3</v>
      </c>
      <c r="B35" s="5" t="str">
        <f t="shared" si="5"/>
        <v/>
      </c>
      <c r="C35" s="11"/>
      <c r="D35" s="11"/>
      <c r="E35" s="10"/>
      <c r="F35" s="11"/>
      <c r="G35" s="11"/>
      <c r="H35" s="12"/>
      <c r="I35" s="11"/>
      <c r="J35" s="11"/>
      <c r="K35" s="13">
        <f>SUM(K32:K34)</f>
        <v>0</v>
      </c>
      <c r="L35" s="11"/>
      <c r="M35" s="14"/>
    </row>
    <row r="36" spans="1:13" x14ac:dyDescent="0.25">
      <c r="L36" s="1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bewilligte Tage" prompt="Bewilligte/n Wochentag/e bitte auswählen" xr:uid="{00000000-0002-0000-0400-000000000000}">
          <x14:formula1>
            <xm:f>Tabelle2!$A$6:$A$28</xm:f>
          </x14:formula1>
          <xm:sqref>G2:K2</xm:sqref>
        </x14:dataValidation>
        <x14:dataValidation type="list" allowBlank="1" showInputMessage="1" showErrorMessage="1" promptTitle="Grund bitte auswählen" prompt="Grund bitte auswählen" xr:uid="{00000000-0002-0000-0400-000001000000}">
          <x14:formula1>
            <xm:f>Tabelle2!$A$1:$A$4</xm:f>
          </x14:formula1>
          <xm:sqref>L4:L8 L11:L15 L18:L22 L25:L29 L32:L34</xm:sqref>
        </x14:dataValidation>
        <x14:dataValidation type="list" allowBlank="1" showInputMessage="1" showErrorMessage="1" xr:uid="{00000000-0002-0000-0400-000002000000}">
          <x14:formula1>
            <xm:f>Tabelle2!$A$1:$A$4</xm:f>
          </x14:formula1>
          <xm:sqref>L9:L10 L16:L17 L24 L31 L36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workbookViewId="0">
      <selection activeCell="M12" sqref="M12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167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175</v>
      </c>
      <c r="B4" s="5" t="str">
        <f>IF(OR(C4="",D4=""),"",IF(C4&lt;=D4,SUM(+D4,-C4,),"24:00"-C4+D4))</f>
        <v/>
      </c>
      <c r="C4" s="6"/>
      <c r="D4" s="6"/>
      <c r="E4" s="5" t="str">
        <f t="shared" ref="E4:E12" si="0">IF(OR(F4="",G4=""),"",IF(F4&lt;=G4,SUM(+G4,-F4,),"24:00"-F4+G4))</f>
        <v/>
      </c>
      <c r="F4" s="6"/>
      <c r="G4" s="6"/>
      <c r="H4" s="5" t="str">
        <f t="shared" ref="H4:H12" si="1">IF(OR(I4="",J4=""),"",IF(I4&lt;=J4,SUM(+J4,-I4,),"24:00"-I4+J4))</f>
        <v/>
      </c>
      <c r="I4" s="6"/>
      <c r="J4" s="6"/>
      <c r="K4" s="6">
        <f t="shared" ref="K4:K12" si="2">SUM(B4,E4,H4)</f>
        <v>0</v>
      </c>
      <c r="L4" s="1"/>
      <c r="M4" s="2"/>
    </row>
    <row r="5" spans="1:13" x14ac:dyDescent="0.25">
      <c r="A5" s="4" t="s">
        <v>176</v>
      </c>
      <c r="B5" s="5" t="str">
        <f t="shared" ref="B5:B6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9" t="s">
        <v>3</v>
      </c>
      <c r="B6" s="5" t="str">
        <f t="shared" si="3"/>
        <v/>
      </c>
      <c r="C6" s="11"/>
      <c r="D6" s="11"/>
      <c r="E6" s="10"/>
      <c r="F6" s="11"/>
      <c r="G6" s="11"/>
      <c r="H6" s="12"/>
      <c r="I6" s="11"/>
      <c r="J6" s="11"/>
      <c r="K6" s="13">
        <f>SUM(K4:K5)</f>
        <v>0</v>
      </c>
      <c r="L6" s="11"/>
      <c r="M6" s="14"/>
    </row>
    <row r="7" spans="1:13" x14ac:dyDescent="0.25">
      <c r="A7" s="16" t="s">
        <v>171</v>
      </c>
      <c r="B7" s="19"/>
      <c r="C7" s="20"/>
      <c r="D7" s="20"/>
      <c r="E7" s="19"/>
      <c r="F7" s="20"/>
      <c r="G7" s="20"/>
      <c r="H7" s="20"/>
      <c r="I7" s="20"/>
      <c r="J7" s="20"/>
      <c r="K7" s="19"/>
      <c r="L7" s="21"/>
      <c r="M7" s="22"/>
    </row>
    <row r="8" spans="1:13" x14ac:dyDescent="0.25">
      <c r="A8" s="4" t="s">
        <v>177</v>
      </c>
      <c r="B8" s="5" t="str">
        <f>IF(OR(C8="",D8=""),"",IF(C8&lt;=D8,SUM(+D8,-C8,),"24:00"-C8+D8))</f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/>
    </row>
    <row r="9" spans="1:13" x14ac:dyDescent="0.25">
      <c r="A9" s="4" t="s">
        <v>178</v>
      </c>
      <c r="B9" s="5" t="str">
        <f t="shared" ref="B9:B13" si="4">IF(OR(C9="",D9=""),"",IF(C9&lt;=D9,SUM(+D9,-C9,),"24:00"-C9+D9))</f>
        <v/>
      </c>
      <c r="C9" s="6"/>
      <c r="D9" s="6"/>
      <c r="E9" s="5" t="str">
        <f t="shared" si="0"/>
        <v/>
      </c>
      <c r="F9" s="6"/>
      <c r="G9" s="6"/>
      <c r="H9" s="5" t="str">
        <f t="shared" si="1"/>
        <v/>
      </c>
      <c r="I9" s="6"/>
      <c r="J9" s="6"/>
      <c r="K9" s="6">
        <f t="shared" si="2"/>
        <v>0</v>
      </c>
      <c r="L9" s="1"/>
      <c r="M9" s="2"/>
    </row>
    <row r="10" spans="1:13" x14ac:dyDescent="0.25">
      <c r="A10" s="4" t="s">
        <v>179</v>
      </c>
      <c r="B10" s="5" t="str">
        <f t="shared" si="4"/>
        <v/>
      </c>
      <c r="C10" s="6"/>
      <c r="D10" s="6"/>
      <c r="E10" s="5" t="str">
        <f t="shared" si="0"/>
        <v/>
      </c>
      <c r="F10" s="6"/>
      <c r="G10" s="6"/>
      <c r="H10" s="5" t="str">
        <f t="shared" si="1"/>
        <v/>
      </c>
      <c r="I10" s="6"/>
      <c r="J10" s="6"/>
      <c r="K10" s="6">
        <f t="shared" si="2"/>
        <v>0</v>
      </c>
      <c r="L10" s="1"/>
      <c r="M10" s="2"/>
    </row>
    <row r="11" spans="1:13" x14ac:dyDescent="0.25">
      <c r="A11" s="4" t="s">
        <v>180</v>
      </c>
      <c r="B11" s="5" t="str">
        <f t="shared" si="4"/>
        <v/>
      </c>
      <c r="C11" s="6"/>
      <c r="D11" s="6"/>
      <c r="E11" s="5" t="str">
        <f t="shared" si="0"/>
        <v/>
      </c>
      <c r="F11" s="6"/>
      <c r="G11" s="6"/>
      <c r="H11" s="5" t="str">
        <f t="shared" si="1"/>
        <v/>
      </c>
      <c r="I11" s="6"/>
      <c r="J11" s="6"/>
      <c r="K11" s="6">
        <f t="shared" si="2"/>
        <v>0</v>
      </c>
      <c r="L11" s="1"/>
      <c r="M11" s="2" t="s">
        <v>37</v>
      </c>
    </row>
    <row r="12" spans="1:13" x14ac:dyDescent="0.25">
      <c r="A12" s="4" t="s">
        <v>181</v>
      </c>
      <c r="B12" s="5" t="str">
        <f t="shared" si="4"/>
        <v/>
      </c>
      <c r="C12" s="6"/>
      <c r="D12" s="6"/>
      <c r="E12" s="5" t="str">
        <f t="shared" si="0"/>
        <v/>
      </c>
      <c r="F12" s="6"/>
      <c r="G12" s="6"/>
      <c r="H12" s="5" t="str">
        <f t="shared" si="1"/>
        <v/>
      </c>
      <c r="I12" s="6"/>
      <c r="J12" s="6"/>
      <c r="K12" s="6">
        <f t="shared" si="2"/>
        <v>0</v>
      </c>
      <c r="L12" s="1"/>
      <c r="M12" s="2"/>
    </row>
    <row r="13" spans="1:13" x14ac:dyDescent="0.25">
      <c r="A13" s="9" t="s">
        <v>3</v>
      </c>
      <c r="B13" s="5" t="str">
        <f t="shared" si="4"/>
        <v/>
      </c>
      <c r="C13" s="11"/>
      <c r="D13" s="11"/>
      <c r="E13" s="10"/>
      <c r="F13" s="11"/>
      <c r="G13" s="11"/>
      <c r="H13" s="12"/>
      <c r="I13" s="11"/>
      <c r="J13" s="11"/>
      <c r="K13" s="13">
        <f>SUM(K8:K12)</f>
        <v>0</v>
      </c>
      <c r="L13" s="11"/>
      <c r="M13" s="14"/>
    </row>
    <row r="14" spans="1:13" x14ac:dyDescent="0.25">
      <c r="A14" s="3" t="s">
        <v>172</v>
      </c>
      <c r="B14" s="19"/>
      <c r="C14" s="8"/>
      <c r="D14" s="8"/>
      <c r="E14" s="7"/>
      <c r="F14" s="8"/>
      <c r="G14" s="8"/>
      <c r="H14" s="8"/>
      <c r="I14" s="8"/>
      <c r="J14" s="8"/>
      <c r="K14" s="7"/>
      <c r="L14" s="1"/>
      <c r="M14" s="2"/>
    </row>
    <row r="15" spans="1:13" x14ac:dyDescent="0.25">
      <c r="A15" s="4" t="s">
        <v>182</v>
      </c>
      <c r="B15" s="5" t="str">
        <f t="shared" ref="B15:B34" si="5">IF(OR(C15="",D15=""),"",IF(C15&lt;=D15,SUM(+D15,-C15,),"24:00"-C15+D15))</f>
        <v/>
      </c>
      <c r="C15" s="6"/>
      <c r="D15" s="6"/>
      <c r="E15" s="5" t="str">
        <f t="shared" ref="E15:E19" si="6">IF(OR(F15="",G15=""),"",IF(F15&lt;=G15,SUM(+G15,-F15,),"24:00"-F15+G15))</f>
        <v/>
      </c>
      <c r="F15" s="6"/>
      <c r="G15" s="6"/>
      <c r="H15" s="5" t="str">
        <f t="shared" ref="H15:H19" si="7">IF(OR(I15="",J15=""),"",IF(I15&lt;=J15,SUM(+J15,-I15,),"24:00"-I15+J15))</f>
        <v/>
      </c>
      <c r="I15" s="6"/>
      <c r="J15" s="6"/>
      <c r="K15" s="6">
        <f t="shared" ref="K15:K19" si="8">SUM(B15,E15,H15)</f>
        <v>0</v>
      </c>
      <c r="L15" s="1"/>
      <c r="M15" s="2"/>
    </row>
    <row r="16" spans="1:13" x14ac:dyDescent="0.25">
      <c r="A16" s="4" t="s">
        <v>183</v>
      </c>
      <c r="B16" s="5" t="str">
        <f t="shared" si="5"/>
        <v/>
      </c>
      <c r="C16" s="6"/>
      <c r="D16" s="6"/>
      <c r="E16" s="5" t="str">
        <f t="shared" si="6"/>
        <v/>
      </c>
      <c r="F16" s="6"/>
      <c r="G16" s="6"/>
      <c r="H16" s="5" t="str">
        <f t="shared" si="7"/>
        <v/>
      </c>
      <c r="I16" s="6"/>
      <c r="J16" s="6"/>
      <c r="K16" s="6">
        <f t="shared" si="8"/>
        <v>0</v>
      </c>
      <c r="L16" s="1"/>
      <c r="M16" s="2"/>
    </row>
    <row r="17" spans="1:13" x14ac:dyDescent="0.25">
      <c r="A17" s="4" t="s">
        <v>184</v>
      </c>
      <c r="B17" s="5" t="str">
        <f t="shared" si="5"/>
        <v/>
      </c>
      <c r="C17" s="6"/>
      <c r="D17" s="6"/>
      <c r="E17" s="5" t="str">
        <f t="shared" si="6"/>
        <v/>
      </c>
      <c r="F17" s="6"/>
      <c r="G17" s="6"/>
      <c r="H17" s="5" t="str">
        <f t="shared" si="7"/>
        <v/>
      </c>
      <c r="I17" s="6"/>
      <c r="J17" s="6"/>
      <c r="K17" s="6">
        <f t="shared" si="8"/>
        <v>0</v>
      </c>
      <c r="L17" s="1"/>
      <c r="M17" s="2"/>
    </row>
    <row r="18" spans="1:13" x14ac:dyDescent="0.25">
      <c r="A18" s="4" t="s">
        <v>185</v>
      </c>
      <c r="B18" s="5" t="str">
        <f t="shared" si="5"/>
        <v/>
      </c>
      <c r="C18" s="6"/>
      <c r="D18" s="6"/>
      <c r="E18" s="5" t="str">
        <f t="shared" si="6"/>
        <v/>
      </c>
      <c r="F18" s="6"/>
      <c r="G18" s="6"/>
      <c r="H18" s="5" t="str">
        <f t="shared" si="7"/>
        <v/>
      </c>
      <c r="I18" s="6"/>
      <c r="J18" s="6"/>
      <c r="K18" s="6">
        <f t="shared" si="8"/>
        <v>0</v>
      </c>
      <c r="L18" s="1"/>
      <c r="M18" s="2"/>
    </row>
    <row r="19" spans="1:13" x14ac:dyDescent="0.25">
      <c r="A19" s="4" t="s">
        <v>186</v>
      </c>
      <c r="B19" s="5" t="str">
        <f t="shared" si="5"/>
        <v/>
      </c>
      <c r="C19" s="6"/>
      <c r="D19" s="6"/>
      <c r="E19" s="5" t="str">
        <f t="shared" si="6"/>
        <v/>
      </c>
      <c r="F19" s="6"/>
      <c r="G19" s="6"/>
      <c r="H19" s="5" t="str">
        <f t="shared" si="7"/>
        <v/>
      </c>
      <c r="I19" s="6"/>
      <c r="J19" s="6"/>
      <c r="K19" s="6">
        <f t="shared" si="8"/>
        <v>0</v>
      </c>
      <c r="L19" s="1"/>
      <c r="M19" s="2"/>
    </row>
    <row r="20" spans="1:13" x14ac:dyDescent="0.25">
      <c r="A20" s="9" t="s">
        <v>3</v>
      </c>
      <c r="B20" s="5" t="str">
        <f t="shared" si="5"/>
        <v/>
      </c>
      <c r="C20" s="11"/>
      <c r="D20" s="11"/>
      <c r="E20" s="10"/>
      <c r="F20" s="11"/>
      <c r="G20" s="11"/>
      <c r="H20" s="12"/>
      <c r="I20" s="11"/>
      <c r="J20" s="11"/>
      <c r="K20" s="13">
        <f>SUM(K15:K19)</f>
        <v>0</v>
      </c>
      <c r="L20" s="11"/>
      <c r="M20" s="14"/>
    </row>
    <row r="21" spans="1:13" x14ac:dyDescent="0.25">
      <c r="A21" s="3" t="s">
        <v>173</v>
      </c>
      <c r="B21" s="19"/>
      <c r="C21" s="8"/>
      <c r="D21" s="8"/>
      <c r="E21" s="7"/>
      <c r="F21" s="8"/>
      <c r="G21" s="8"/>
      <c r="H21" s="8"/>
      <c r="I21" s="8"/>
      <c r="J21" s="8"/>
      <c r="K21" s="7"/>
      <c r="L21" s="1"/>
      <c r="M21" s="2"/>
    </row>
    <row r="22" spans="1:13" x14ac:dyDescent="0.25">
      <c r="A22" s="4" t="s">
        <v>187</v>
      </c>
      <c r="B22" s="5" t="str">
        <f t="shared" ref="B22" si="9">IF(OR(C22="",D22=""),"",IF(C22&lt;=D22,SUM(+D22,-C22,),"24:00"-C22+D22))</f>
        <v/>
      </c>
      <c r="C22" s="6"/>
      <c r="D22" s="6"/>
      <c r="E22" s="5" t="str">
        <f t="shared" ref="E22:E26" si="10">IF(OR(F22="",G22=""),"",IF(F22&lt;=G22,SUM(+G22,-F22,),"24:00"-F22+G22))</f>
        <v/>
      </c>
      <c r="F22" s="6"/>
      <c r="G22" s="6"/>
      <c r="H22" s="5" t="str">
        <f t="shared" ref="H22:H26" si="11">IF(OR(I22="",J22=""),"",IF(I22&lt;=J22,SUM(+J22,-I22,),"24:00"-I22+J22))</f>
        <v/>
      </c>
      <c r="I22" s="6"/>
      <c r="J22" s="6"/>
      <c r="K22" s="6">
        <f t="shared" ref="K22:K26" si="12">SUM(B22,E22,H22)</f>
        <v>0</v>
      </c>
      <c r="L22" s="1"/>
      <c r="M22" s="2"/>
    </row>
    <row r="23" spans="1:13" x14ac:dyDescent="0.25">
      <c r="A23" s="4" t="s">
        <v>188</v>
      </c>
      <c r="B23" s="5" t="str">
        <f t="shared" si="5"/>
        <v/>
      </c>
      <c r="C23" s="6"/>
      <c r="D23" s="6"/>
      <c r="E23" s="5" t="str">
        <f t="shared" si="10"/>
        <v/>
      </c>
      <c r="F23" s="6"/>
      <c r="G23" s="6"/>
      <c r="H23" s="5" t="str">
        <f t="shared" si="11"/>
        <v/>
      </c>
      <c r="I23" s="6"/>
      <c r="J23" s="6"/>
      <c r="K23" s="6">
        <f t="shared" si="12"/>
        <v>0</v>
      </c>
      <c r="L23" s="1"/>
      <c r="M23" s="2"/>
    </row>
    <row r="24" spans="1:13" x14ac:dyDescent="0.25">
      <c r="A24" s="4" t="s">
        <v>189</v>
      </c>
      <c r="B24" s="5" t="str">
        <f t="shared" si="5"/>
        <v/>
      </c>
      <c r="C24" s="6"/>
      <c r="D24" s="6"/>
      <c r="E24" s="5" t="str">
        <f t="shared" si="10"/>
        <v/>
      </c>
      <c r="F24" s="6"/>
      <c r="G24" s="6"/>
      <c r="H24" s="5" t="str">
        <f t="shared" si="11"/>
        <v/>
      </c>
      <c r="I24" s="6"/>
      <c r="J24" s="6"/>
      <c r="K24" s="6">
        <f t="shared" si="12"/>
        <v>0</v>
      </c>
      <c r="L24" s="1"/>
      <c r="M24" s="2"/>
    </row>
    <row r="25" spans="1:13" x14ac:dyDescent="0.25">
      <c r="A25" s="4" t="s">
        <v>190</v>
      </c>
      <c r="B25" s="5" t="str">
        <f t="shared" si="5"/>
        <v/>
      </c>
      <c r="C25" s="6"/>
      <c r="D25" s="6"/>
      <c r="E25" s="5" t="str">
        <f t="shared" si="10"/>
        <v/>
      </c>
      <c r="F25" s="6"/>
      <c r="G25" s="6"/>
      <c r="H25" s="5" t="str">
        <f t="shared" si="11"/>
        <v/>
      </c>
      <c r="I25" s="6"/>
      <c r="J25" s="6"/>
      <c r="K25" s="6">
        <f t="shared" si="12"/>
        <v>0</v>
      </c>
      <c r="L25" s="1"/>
      <c r="M25" s="2"/>
    </row>
    <row r="26" spans="1:13" x14ac:dyDescent="0.25">
      <c r="A26" s="4" t="s">
        <v>191</v>
      </c>
      <c r="B26" s="5" t="str">
        <f t="shared" si="5"/>
        <v/>
      </c>
      <c r="C26" s="6"/>
      <c r="D26" s="6"/>
      <c r="E26" s="5" t="str">
        <f t="shared" si="10"/>
        <v/>
      </c>
      <c r="F26" s="6"/>
      <c r="G26" s="6"/>
      <c r="H26" s="5" t="str">
        <f t="shared" si="11"/>
        <v/>
      </c>
      <c r="I26" s="6"/>
      <c r="J26" s="6"/>
      <c r="K26" s="6">
        <f t="shared" si="12"/>
        <v>0</v>
      </c>
      <c r="L26" s="1"/>
      <c r="M26" s="2"/>
    </row>
    <row r="27" spans="1:13" x14ac:dyDescent="0.25">
      <c r="A27" s="9" t="s">
        <v>3</v>
      </c>
      <c r="B27" s="5" t="str">
        <f t="shared" si="5"/>
        <v/>
      </c>
      <c r="C27" s="11"/>
      <c r="D27" s="11"/>
      <c r="E27" s="10"/>
      <c r="F27" s="11"/>
      <c r="G27" s="11"/>
      <c r="H27" s="12"/>
      <c r="I27" s="11"/>
      <c r="J27" s="11"/>
      <c r="K27" s="13">
        <f>SUM(K22:K26)</f>
        <v>0</v>
      </c>
      <c r="L27" s="11"/>
      <c r="M27" s="14"/>
    </row>
    <row r="28" spans="1:13" x14ac:dyDescent="0.25">
      <c r="A28" s="3" t="s">
        <v>174</v>
      </c>
      <c r="B28" s="19"/>
      <c r="C28" s="8"/>
      <c r="D28" s="8"/>
      <c r="E28" s="7"/>
      <c r="F28" s="8"/>
      <c r="G28" s="8"/>
      <c r="H28" s="8"/>
      <c r="I28" s="8"/>
      <c r="J28" s="8"/>
      <c r="K28" s="7"/>
      <c r="L28" s="1"/>
      <c r="M28" s="2"/>
    </row>
    <row r="29" spans="1:13" x14ac:dyDescent="0.25">
      <c r="A29" s="4" t="s">
        <v>192</v>
      </c>
      <c r="B29" s="5" t="str">
        <f t="shared" ref="B29" si="13">IF(OR(C29="",D29=""),"",IF(C29&lt;=D29,SUM(+D29,-C29,),"24:00"-C29+D29))</f>
        <v/>
      </c>
      <c r="C29" s="6"/>
      <c r="D29" s="6"/>
      <c r="E29" s="5" t="str">
        <f t="shared" ref="E29:E33" si="14">IF(OR(F29="",G29=""),"",IF(F29&lt;=G29,SUM(+G29,-F29,),"24:00"-F29+G29))</f>
        <v/>
      </c>
      <c r="F29" s="6"/>
      <c r="G29" s="6"/>
      <c r="H29" s="5" t="str">
        <f t="shared" ref="H29:H33" si="15">IF(OR(I29="",J29=""),"",IF(I29&lt;=J29,SUM(+J29,-I29,),"24:00"-I29+J29))</f>
        <v/>
      </c>
      <c r="I29" s="6"/>
      <c r="J29" s="6"/>
      <c r="K29" s="6">
        <f t="shared" ref="K29:K33" si="16">SUM(B29,E29,H29)</f>
        <v>0</v>
      </c>
      <c r="L29" s="1"/>
      <c r="M29" s="2"/>
    </row>
    <row r="30" spans="1:13" x14ac:dyDescent="0.25">
      <c r="A30" s="4" t="s">
        <v>193</v>
      </c>
      <c r="B30" s="5" t="str">
        <f t="shared" si="5"/>
        <v/>
      </c>
      <c r="C30" s="6"/>
      <c r="D30" s="6"/>
      <c r="E30" s="5" t="str">
        <f t="shared" si="14"/>
        <v/>
      </c>
      <c r="F30" s="6"/>
      <c r="G30" s="6"/>
      <c r="H30" s="5" t="str">
        <f t="shared" si="15"/>
        <v/>
      </c>
      <c r="I30" s="6"/>
      <c r="J30" s="6"/>
      <c r="K30" s="6">
        <f t="shared" si="16"/>
        <v>0</v>
      </c>
      <c r="L30" s="1"/>
      <c r="M30" s="2"/>
    </row>
    <row r="31" spans="1:13" x14ac:dyDescent="0.25">
      <c r="A31" s="4" t="s">
        <v>194</v>
      </c>
      <c r="B31" s="5" t="str">
        <f t="shared" si="5"/>
        <v/>
      </c>
      <c r="C31" s="6"/>
      <c r="D31" s="6"/>
      <c r="E31" s="5" t="str">
        <f t="shared" si="14"/>
        <v/>
      </c>
      <c r="F31" s="6"/>
      <c r="G31" s="6"/>
      <c r="H31" s="5" t="str">
        <f t="shared" si="15"/>
        <v/>
      </c>
      <c r="I31" s="6"/>
      <c r="J31" s="6"/>
      <c r="K31" s="6">
        <f t="shared" si="16"/>
        <v>0</v>
      </c>
      <c r="L31" s="1"/>
      <c r="M31" s="2"/>
    </row>
    <row r="32" spans="1:13" x14ac:dyDescent="0.25">
      <c r="A32" s="4" t="s">
        <v>195</v>
      </c>
      <c r="B32" s="5" t="str">
        <f t="shared" si="5"/>
        <v/>
      </c>
      <c r="C32" s="6"/>
      <c r="D32" s="6"/>
      <c r="E32" s="5" t="str">
        <f t="shared" si="14"/>
        <v/>
      </c>
      <c r="F32" s="6"/>
      <c r="G32" s="6"/>
      <c r="H32" s="5" t="str">
        <f t="shared" si="15"/>
        <v/>
      </c>
      <c r="I32" s="6"/>
      <c r="J32" s="6"/>
      <c r="K32" s="6">
        <f t="shared" si="16"/>
        <v>0</v>
      </c>
      <c r="L32" s="1"/>
      <c r="M32" s="2"/>
    </row>
    <row r="33" spans="1:13" x14ac:dyDescent="0.25">
      <c r="A33" s="4" t="s">
        <v>196</v>
      </c>
      <c r="B33" s="5" t="str">
        <f t="shared" si="5"/>
        <v/>
      </c>
      <c r="C33" s="6"/>
      <c r="D33" s="6"/>
      <c r="E33" s="5" t="str">
        <f t="shared" si="14"/>
        <v/>
      </c>
      <c r="F33" s="6"/>
      <c r="G33" s="6"/>
      <c r="H33" s="5" t="str">
        <f t="shared" si="15"/>
        <v/>
      </c>
      <c r="I33" s="6"/>
      <c r="J33" s="6"/>
      <c r="K33" s="6">
        <f t="shared" si="16"/>
        <v>0</v>
      </c>
      <c r="L33" s="1"/>
      <c r="M33" s="2"/>
    </row>
    <row r="34" spans="1:13" x14ac:dyDescent="0.25">
      <c r="A34" s="9" t="s">
        <v>3</v>
      </c>
      <c r="B34" s="5" t="str">
        <f t="shared" si="5"/>
        <v/>
      </c>
      <c r="C34" s="11"/>
      <c r="D34" s="11"/>
      <c r="E34" s="10"/>
      <c r="F34" s="11"/>
      <c r="G34" s="11"/>
      <c r="H34" s="12"/>
      <c r="I34" s="11"/>
      <c r="J34" s="11"/>
      <c r="K34" s="13">
        <f>SUM(K29:K33)</f>
        <v>0</v>
      </c>
      <c r="L34" s="11"/>
      <c r="M34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Tabelle2!$A$1:$A$4</xm:f>
          </x14:formula1>
          <xm:sqref>L6:L7 L13:L14 L21 L28</xm:sqref>
        </x14:dataValidation>
        <x14:dataValidation type="list" allowBlank="1" showInputMessage="1" showErrorMessage="1" promptTitle="Grund bitte auswählen" prompt="Grund bitte auswählen" xr:uid="{00000000-0002-0000-0500-000001000000}">
          <x14:formula1>
            <xm:f>Tabelle2!$A$1:$A$4</xm:f>
          </x14:formula1>
          <xm:sqref>L8:L12 L15:L19 L22:L26 L4:L5 L29:L33</xm:sqref>
        </x14:dataValidation>
        <x14:dataValidation type="list" allowBlank="1" showInputMessage="1" showErrorMessage="1" promptTitle="bewilligte Tage" prompt="Bewilligte/n Wochentag/e bitte auswählen" xr:uid="{00000000-0002-0000-0500-000002000000}">
          <x14:formula1>
            <xm:f>Tabelle2!$A$6:$A$28</xm:f>
          </x14:formula1>
          <xm:sqref>G2:K2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workbookViewId="0">
      <selection activeCell="H20" sqref="H20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197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201</v>
      </c>
      <c r="B4" s="5" t="str">
        <f>IF(OR(C4="",D4=""),"",IF(C4&lt;=D4,SUM(+D4,-C4,),"24:00"-C4+D4))</f>
        <v/>
      </c>
      <c r="C4" s="6"/>
      <c r="D4" s="6"/>
      <c r="E4" s="5" t="str">
        <f t="shared" ref="E4:E8" si="0">IF(OR(F4="",G4=""),"",IF(F4&lt;=G4,SUM(+G4,-F4,),"24:00"-F4+G4))</f>
        <v/>
      </c>
      <c r="F4" s="6"/>
      <c r="G4" s="6"/>
      <c r="H4" s="5" t="str">
        <f t="shared" ref="H4:H8" si="1">IF(OR(I4="",J4=""),"",IF(I4&lt;=J4,SUM(+J4,-I4,),"24:00"-I4+J4))</f>
        <v/>
      </c>
      <c r="I4" s="6"/>
      <c r="J4" s="6"/>
      <c r="K4" s="6">
        <f t="shared" ref="K4:K8" si="2">SUM(B4,E4,H4)</f>
        <v>0</v>
      </c>
      <c r="L4" s="1"/>
      <c r="M4" s="2"/>
    </row>
    <row r="5" spans="1:13" x14ac:dyDescent="0.25">
      <c r="A5" s="4" t="s">
        <v>202</v>
      </c>
      <c r="B5" s="5" t="str">
        <f t="shared" ref="B5:B9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203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204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4" t="s">
        <v>205</v>
      </c>
      <c r="B8" s="5" t="str">
        <f t="shared" si="3"/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/>
    </row>
    <row r="9" spans="1:13" x14ac:dyDescent="0.25">
      <c r="A9" s="9" t="s">
        <v>3</v>
      </c>
      <c r="B9" s="5" t="str">
        <f t="shared" si="3"/>
        <v/>
      </c>
      <c r="C9" s="11"/>
      <c r="D9" s="11"/>
      <c r="E9" s="10"/>
      <c r="F9" s="11"/>
      <c r="G9" s="11"/>
      <c r="H9" s="12"/>
      <c r="I9" s="11"/>
      <c r="J9" s="11"/>
      <c r="K9" s="13">
        <f>SUM(K4:K8)</f>
        <v>0</v>
      </c>
      <c r="L9" s="11"/>
      <c r="M9" s="14"/>
    </row>
    <row r="10" spans="1:13" x14ac:dyDescent="0.25">
      <c r="A10" s="3" t="s">
        <v>198</v>
      </c>
      <c r="B10" s="7"/>
      <c r="C10" s="8"/>
      <c r="D10" s="8"/>
      <c r="E10" s="7"/>
      <c r="F10" s="8"/>
      <c r="G10" s="8"/>
      <c r="H10" s="8"/>
      <c r="I10" s="8"/>
      <c r="J10" s="8"/>
      <c r="K10" s="7"/>
      <c r="L10" s="1"/>
      <c r="M10" s="2"/>
    </row>
    <row r="11" spans="1:13" x14ac:dyDescent="0.25">
      <c r="A11" s="4" t="s">
        <v>206</v>
      </c>
      <c r="B11" s="5" t="str">
        <f>IF(OR(C11="",D11=""),"",IF(C11&lt;=D11,SUM(+D11,-C11,),"24:00"-C11+D11))</f>
        <v/>
      </c>
      <c r="C11" s="6"/>
      <c r="D11" s="6"/>
      <c r="E11" s="5" t="str">
        <f t="shared" ref="E11:E15" si="4">IF(OR(F11="",G11=""),"",IF(F11&lt;=G11,SUM(+G11,-F11,),"24:00"-F11+G11))</f>
        <v/>
      </c>
      <c r="F11" s="6"/>
      <c r="G11" s="6"/>
      <c r="H11" s="5" t="str">
        <f t="shared" ref="H11:H15" si="5">IF(OR(I11="",J11=""),"",IF(I11&lt;=J11,SUM(+J11,-I11,),"24:00"-I11+J11))</f>
        <v/>
      </c>
      <c r="I11" s="6"/>
      <c r="J11" s="6"/>
      <c r="K11" s="6">
        <f t="shared" ref="K11:K15" si="6">SUM(B11,E11,H11)</f>
        <v>0</v>
      </c>
      <c r="L11" s="1"/>
      <c r="M11" s="2"/>
    </row>
    <row r="12" spans="1:13" x14ac:dyDescent="0.25">
      <c r="A12" s="4" t="s">
        <v>207</v>
      </c>
      <c r="B12" s="5" t="str">
        <f t="shared" ref="B12:B16" si="7">IF(OR(C12="",D12=""),"",IF(C12&lt;=D12,SUM(+D12,-C12,),"24:00"-C12+D12))</f>
        <v/>
      </c>
      <c r="C12" s="6"/>
      <c r="D12" s="6"/>
      <c r="E12" s="5" t="str">
        <f t="shared" si="4"/>
        <v/>
      </c>
      <c r="F12" s="6"/>
      <c r="G12" s="6"/>
      <c r="H12" s="5" t="str">
        <f t="shared" si="5"/>
        <v/>
      </c>
      <c r="I12" s="6"/>
      <c r="J12" s="6"/>
      <c r="K12" s="6">
        <f t="shared" si="6"/>
        <v>0</v>
      </c>
      <c r="L12" s="1"/>
      <c r="M12" s="2"/>
    </row>
    <row r="13" spans="1:13" x14ac:dyDescent="0.25">
      <c r="A13" s="4" t="s">
        <v>208</v>
      </c>
      <c r="B13" s="5" t="str">
        <f t="shared" si="7"/>
        <v/>
      </c>
      <c r="C13" s="6"/>
      <c r="D13" s="6"/>
      <c r="E13" s="5" t="str">
        <f t="shared" si="4"/>
        <v/>
      </c>
      <c r="F13" s="6"/>
      <c r="G13" s="6"/>
      <c r="H13" s="5" t="str">
        <f t="shared" si="5"/>
        <v/>
      </c>
      <c r="I13" s="6"/>
      <c r="J13" s="6"/>
      <c r="K13" s="6">
        <f t="shared" si="6"/>
        <v>0</v>
      </c>
      <c r="L13" s="1"/>
      <c r="M13" s="2"/>
    </row>
    <row r="14" spans="1:13" x14ac:dyDescent="0.25">
      <c r="A14" s="4" t="s">
        <v>209</v>
      </c>
      <c r="B14" s="5" t="str">
        <f t="shared" si="7"/>
        <v/>
      </c>
      <c r="C14" s="6"/>
      <c r="D14" s="6"/>
      <c r="E14" s="5" t="str">
        <f t="shared" si="4"/>
        <v/>
      </c>
      <c r="F14" s="6"/>
      <c r="G14" s="6"/>
      <c r="H14" s="5" t="str">
        <f t="shared" si="5"/>
        <v/>
      </c>
      <c r="I14" s="6"/>
      <c r="J14" s="6"/>
      <c r="K14" s="6">
        <f t="shared" si="6"/>
        <v>0</v>
      </c>
      <c r="L14" s="1"/>
      <c r="M14" s="2"/>
    </row>
    <row r="15" spans="1:13" x14ac:dyDescent="0.25">
      <c r="A15" s="4" t="s">
        <v>210</v>
      </c>
      <c r="B15" s="5" t="str">
        <f t="shared" si="7"/>
        <v/>
      </c>
      <c r="C15" s="6"/>
      <c r="D15" s="6"/>
      <c r="E15" s="5" t="str">
        <f t="shared" si="4"/>
        <v/>
      </c>
      <c r="F15" s="6"/>
      <c r="G15" s="6"/>
      <c r="H15" s="5" t="str">
        <f t="shared" si="5"/>
        <v/>
      </c>
      <c r="I15" s="6"/>
      <c r="J15" s="6"/>
      <c r="K15" s="6">
        <f t="shared" si="6"/>
        <v>0</v>
      </c>
      <c r="L15" s="1"/>
      <c r="M15" s="2"/>
    </row>
    <row r="16" spans="1:13" x14ac:dyDescent="0.25">
      <c r="A16" s="9" t="s">
        <v>3</v>
      </c>
      <c r="B16" s="5" t="str">
        <f t="shared" si="7"/>
        <v/>
      </c>
      <c r="C16" s="11"/>
      <c r="D16" s="11"/>
      <c r="E16" s="10"/>
      <c r="F16" s="11"/>
      <c r="G16" s="11"/>
      <c r="H16" s="12"/>
      <c r="I16" s="11"/>
      <c r="J16" s="11"/>
      <c r="K16" s="13">
        <f>SUM(K11:K15)</f>
        <v>0</v>
      </c>
      <c r="L16" s="11"/>
      <c r="M16" s="14"/>
    </row>
    <row r="17" spans="1:13" x14ac:dyDescent="0.25">
      <c r="A17" s="3" t="s">
        <v>199</v>
      </c>
      <c r="B17" s="7"/>
      <c r="C17" s="8"/>
      <c r="D17" s="8"/>
      <c r="E17" s="7"/>
      <c r="F17" s="8"/>
      <c r="G17" s="8"/>
      <c r="H17" s="8"/>
      <c r="I17" s="8"/>
      <c r="J17" s="8"/>
      <c r="K17" s="7"/>
      <c r="L17" s="1"/>
      <c r="M17" s="2"/>
    </row>
    <row r="18" spans="1:13" x14ac:dyDescent="0.25">
      <c r="A18" s="4" t="s">
        <v>211</v>
      </c>
      <c r="B18" s="5" t="str">
        <f t="shared" ref="B18:B33" si="8">IF(OR(C18="",D18=""),"",IF(C18&lt;=D18,SUM(+D18,-C18,),"24:00"-C18+D18))</f>
        <v/>
      </c>
      <c r="C18" s="6"/>
      <c r="D18" s="6"/>
      <c r="E18" s="5" t="str">
        <f t="shared" ref="E18:E22" si="9">IF(OR(F18="",G18=""),"",IF(F18&lt;=G18,SUM(+G18,-F18,),"24:00"-F18+G18))</f>
        <v/>
      </c>
      <c r="F18" s="6"/>
      <c r="G18" s="6"/>
      <c r="H18" s="5" t="str">
        <f t="shared" ref="H18:H22" si="10">IF(OR(I18="",J18=""),"",IF(I18&lt;=J18,SUM(+J18,-I18,),"24:00"-I18+J18))</f>
        <v/>
      </c>
      <c r="I18" s="6"/>
      <c r="J18" s="6"/>
      <c r="K18" s="6">
        <f t="shared" ref="K18:K22" si="11">SUM(B18,E18,H18)</f>
        <v>0</v>
      </c>
      <c r="L18" s="1"/>
      <c r="M18" s="2"/>
    </row>
    <row r="19" spans="1:13" x14ac:dyDescent="0.25">
      <c r="A19" s="4" t="s">
        <v>212</v>
      </c>
      <c r="B19" s="5" t="str">
        <f t="shared" si="8"/>
        <v/>
      </c>
      <c r="C19" s="6"/>
      <c r="D19" s="6"/>
      <c r="E19" s="5" t="str">
        <f t="shared" si="9"/>
        <v/>
      </c>
      <c r="F19" s="6"/>
      <c r="G19" s="6"/>
      <c r="H19" s="5" t="str">
        <f t="shared" si="10"/>
        <v/>
      </c>
      <c r="I19" s="6"/>
      <c r="J19" s="6"/>
      <c r="K19" s="6">
        <f t="shared" si="11"/>
        <v>0</v>
      </c>
      <c r="L19" s="1"/>
      <c r="M19" s="2"/>
    </row>
    <row r="20" spans="1:13" x14ac:dyDescent="0.25">
      <c r="A20" s="4" t="s">
        <v>213</v>
      </c>
      <c r="B20" s="5" t="str">
        <f t="shared" si="8"/>
        <v/>
      </c>
      <c r="C20" s="6"/>
      <c r="D20" s="6"/>
      <c r="E20" s="5" t="str">
        <f t="shared" si="9"/>
        <v/>
      </c>
      <c r="F20" s="6"/>
      <c r="G20" s="6"/>
      <c r="H20" s="5" t="str">
        <f t="shared" si="10"/>
        <v/>
      </c>
      <c r="I20" s="6"/>
      <c r="J20" s="6"/>
      <c r="K20" s="6">
        <f t="shared" si="11"/>
        <v>0</v>
      </c>
      <c r="L20" s="1"/>
      <c r="M20" s="2"/>
    </row>
    <row r="21" spans="1:13" x14ac:dyDescent="0.25">
      <c r="A21" s="4" t="s">
        <v>214</v>
      </c>
      <c r="B21" s="5" t="str">
        <f t="shared" si="8"/>
        <v/>
      </c>
      <c r="C21" s="6"/>
      <c r="D21" s="6"/>
      <c r="E21" s="5" t="str">
        <f t="shared" si="9"/>
        <v/>
      </c>
      <c r="F21" s="6"/>
      <c r="G21" s="6"/>
      <c r="H21" s="5" t="str">
        <f t="shared" si="10"/>
        <v/>
      </c>
      <c r="I21" s="6"/>
      <c r="J21" s="6"/>
      <c r="K21" s="6">
        <f t="shared" si="11"/>
        <v>0</v>
      </c>
      <c r="L21" s="1"/>
      <c r="M21" s="2"/>
    </row>
    <row r="22" spans="1:13" x14ac:dyDescent="0.25">
      <c r="A22" s="4" t="s">
        <v>215</v>
      </c>
      <c r="B22" s="5" t="str">
        <f t="shared" si="8"/>
        <v/>
      </c>
      <c r="C22" s="6"/>
      <c r="D22" s="6"/>
      <c r="E22" s="5" t="str">
        <f t="shared" si="9"/>
        <v/>
      </c>
      <c r="F22" s="6"/>
      <c r="G22" s="6"/>
      <c r="H22" s="5" t="str">
        <f t="shared" si="10"/>
        <v/>
      </c>
      <c r="I22" s="6"/>
      <c r="J22" s="6"/>
      <c r="K22" s="6">
        <f t="shared" si="11"/>
        <v>0</v>
      </c>
      <c r="L22" s="1"/>
      <c r="M22" s="2"/>
    </row>
    <row r="23" spans="1:13" x14ac:dyDescent="0.25">
      <c r="A23" s="9" t="s">
        <v>3</v>
      </c>
      <c r="B23" s="5" t="str">
        <f t="shared" si="8"/>
        <v/>
      </c>
      <c r="C23" s="11"/>
      <c r="D23" s="11"/>
      <c r="E23" s="10"/>
      <c r="F23" s="11"/>
      <c r="G23" s="11"/>
      <c r="H23" s="12"/>
      <c r="I23" s="11"/>
      <c r="J23" s="11"/>
      <c r="K23" s="13">
        <f>SUM(K18:K22)</f>
        <v>0</v>
      </c>
      <c r="L23" s="11"/>
      <c r="M23" s="14"/>
    </row>
    <row r="24" spans="1:13" x14ac:dyDescent="0.25">
      <c r="A24" s="3" t="s">
        <v>200</v>
      </c>
      <c r="B24" s="7"/>
      <c r="C24" s="8"/>
      <c r="D24" s="8"/>
      <c r="E24" s="7"/>
      <c r="F24" s="8"/>
      <c r="G24" s="8"/>
      <c r="H24" s="8"/>
      <c r="I24" s="8"/>
      <c r="J24" s="8"/>
      <c r="K24" s="7"/>
      <c r="L24" s="1"/>
      <c r="M24" s="2"/>
    </row>
    <row r="25" spans="1:13" x14ac:dyDescent="0.25">
      <c r="A25" s="4" t="s">
        <v>216</v>
      </c>
      <c r="B25" s="5" t="str">
        <f t="shared" ref="B25" si="12">IF(OR(C25="",D25=""),"",IF(C25&lt;=D25,SUM(+D25,-C25,),"24:00"-C25+D25))</f>
        <v/>
      </c>
      <c r="C25" s="6"/>
      <c r="D25" s="6"/>
      <c r="E25" s="5" t="str">
        <f t="shared" ref="E25:E29" si="13">IF(OR(F25="",G25=""),"",IF(F25&lt;=G25,SUM(+G25,-F25,),"24:00"-F25+G25))</f>
        <v/>
      </c>
      <c r="F25" s="6"/>
      <c r="G25" s="6"/>
      <c r="H25" s="5" t="str">
        <f t="shared" ref="H25:H29" si="14">IF(OR(I25="",J25=""),"",IF(I25&lt;=J25,SUM(+J25,-I25,),"24:00"-I25+J25))</f>
        <v/>
      </c>
      <c r="I25" s="6"/>
      <c r="J25" s="6"/>
      <c r="K25" s="6">
        <f t="shared" ref="K25:K29" si="15">SUM(B25,E25,H25)</f>
        <v>0</v>
      </c>
      <c r="L25" s="1"/>
      <c r="M25" s="2"/>
    </row>
    <row r="26" spans="1:13" x14ac:dyDescent="0.25">
      <c r="A26" s="4" t="s">
        <v>217</v>
      </c>
      <c r="B26" s="5" t="str">
        <f t="shared" si="8"/>
        <v/>
      </c>
      <c r="C26" s="6"/>
      <c r="D26" s="6"/>
      <c r="E26" s="5" t="str">
        <f t="shared" si="13"/>
        <v/>
      </c>
      <c r="F26" s="6"/>
      <c r="G26" s="6"/>
      <c r="H26" s="5" t="str">
        <f t="shared" si="14"/>
        <v/>
      </c>
      <c r="I26" s="6"/>
      <c r="J26" s="6"/>
      <c r="K26" s="6">
        <f t="shared" si="15"/>
        <v>0</v>
      </c>
      <c r="L26" s="1"/>
      <c r="M26" s="2"/>
    </row>
    <row r="27" spans="1:13" x14ac:dyDescent="0.25">
      <c r="A27" s="4" t="s">
        <v>218</v>
      </c>
      <c r="B27" s="5" t="str">
        <f t="shared" si="8"/>
        <v/>
      </c>
      <c r="C27" s="6"/>
      <c r="D27" s="6"/>
      <c r="E27" s="5" t="str">
        <f t="shared" si="13"/>
        <v/>
      </c>
      <c r="F27" s="6"/>
      <c r="G27" s="6"/>
      <c r="H27" s="5" t="str">
        <f t="shared" si="14"/>
        <v/>
      </c>
      <c r="I27" s="6"/>
      <c r="J27" s="6"/>
      <c r="K27" s="6">
        <f t="shared" si="15"/>
        <v>0</v>
      </c>
      <c r="L27" s="1"/>
      <c r="M27" s="2"/>
    </row>
    <row r="28" spans="1:13" x14ac:dyDescent="0.25">
      <c r="A28" s="4" t="s">
        <v>219</v>
      </c>
      <c r="B28" s="5" t="str">
        <f t="shared" si="8"/>
        <v/>
      </c>
      <c r="C28" s="6"/>
      <c r="D28" s="6"/>
      <c r="E28" s="5" t="str">
        <f t="shared" si="13"/>
        <v/>
      </c>
      <c r="F28" s="6"/>
      <c r="G28" s="6"/>
      <c r="H28" s="5" t="str">
        <f t="shared" si="14"/>
        <v/>
      </c>
      <c r="I28" s="6"/>
      <c r="J28" s="6"/>
      <c r="K28" s="6">
        <f t="shared" si="15"/>
        <v>0</v>
      </c>
      <c r="L28" s="1"/>
      <c r="M28" s="2"/>
    </row>
    <row r="29" spans="1:13" x14ac:dyDescent="0.25">
      <c r="A29" s="4" t="s">
        <v>220</v>
      </c>
      <c r="B29" s="5" t="str">
        <f t="shared" si="8"/>
        <v/>
      </c>
      <c r="C29" s="6"/>
      <c r="D29" s="6"/>
      <c r="E29" s="5" t="str">
        <f t="shared" si="13"/>
        <v/>
      </c>
      <c r="F29" s="6"/>
      <c r="G29" s="6"/>
      <c r="H29" s="5" t="str">
        <f t="shared" si="14"/>
        <v/>
      </c>
      <c r="I29" s="6"/>
      <c r="J29" s="6"/>
      <c r="K29" s="6">
        <f t="shared" si="15"/>
        <v>0</v>
      </c>
      <c r="L29" s="1"/>
      <c r="M29" s="2"/>
    </row>
    <row r="30" spans="1:13" x14ac:dyDescent="0.25">
      <c r="A30" s="9" t="s">
        <v>3</v>
      </c>
      <c r="B30" s="5" t="str">
        <f t="shared" si="8"/>
        <v/>
      </c>
      <c r="C30" s="11"/>
      <c r="D30" s="11"/>
      <c r="E30" s="10"/>
      <c r="F30" s="11"/>
      <c r="G30" s="11"/>
      <c r="H30" s="12"/>
      <c r="I30" s="11"/>
      <c r="J30" s="11"/>
      <c r="K30" s="13">
        <f>SUM(K25:K29)</f>
        <v>0</v>
      </c>
      <c r="L30" s="11"/>
      <c r="M30" s="14"/>
    </row>
    <row r="31" spans="1:13" x14ac:dyDescent="0.25">
      <c r="A31" s="3" t="s">
        <v>221</v>
      </c>
      <c r="B31" s="7"/>
      <c r="C31" s="8"/>
      <c r="D31" s="8"/>
      <c r="E31" s="7"/>
      <c r="F31" s="8"/>
      <c r="G31" s="8"/>
      <c r="H31" s="8"/>
      <c r="I31" s="8"/>
      <c r="J31" s="8"/>
      <c r="K31" s="7"/>
      <c r="L31" s="1"/>
      <c r="M31" s="2"/>
    </row>
    <row r="32" spans="1:13" x14ac:dyDescent="0.25">
      <c r="A32" s="4" t="s">
        <v>222</v>
      </c>
      <c r="B32" s="5" t="str">
        <f t="shared" ref="B32" si="16">IF(OR(C32="",D32=""),"",IF(C32&lt;=D32,SUM(+D32,-C32,),"24:00"-C32+D32))</f>
        <v/>
      </c>
      <c r="C32" s="6"/>
      <c r="D32" s="6"/>
      <c r="E32" s="5" t="str">
        <f t="shared" ref="E32" si="17">IF(OR(F32="",G32=""),"",IF(F32&lt;=G32,SUM(+G32,-F32,),"24:00"-F32+G32))</f>
        <v/>
      </c>
      <c r="F32" s="6"/>
      <c r="G32" s="6"/>
      <c r="H32" s="5" t="str">
        <f t="shared" ref="H32" si="18">IF(OR(I32="",J32=""),"",IF(I32&lt;=J32,SUM(+J32,-I32,),"24:00"-I32+J32))</f>
        <v/>
      </c>
      <c r="I32" s="6"/>
      <c r="J32" s="6"/>
      <c r="K32" s="6">
        <f t="shared" ref="K32" si="19">SUM(B32,E32,H32)</f>
        <v>0</v>
      </c>
      <c r="L32" s="1"/>
      <c r="M32" s="2"/>
    </row>
    <row r="33" spans="1:13" x14ac:dyDescent="0.25">
      <c r="A33" s="9" t="s">
        <v>3</v>
      </c>
      <c r="B33" s="5" t="str">
        <f t="shared" si="8"/>
        <v/>
      </c>
      <c r="C33" s="11"/>
      <c r="D33" s="11"/>
      <c r="E33" s="10"/>
      <c r="F33" s="11"/>
      <c r="G33" s="11"/>
      <c r="H33" s="12"/>
      <c r="I33" s="11"/>
      <c r="J33" s="11"/>
      <c r="K33" s="13">
        <f>SUM(K32:K32)</f>
        <v>0</v>
      </c>
      <c r="L33" s="11"/>
      <c r="M33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bewilligte Tage" prompt="Bewilligte/n Wochentag/e bitte auswählen" xr:uid="{00000000-0002-0000-0600-000000000000}">
          <x14:formula1>
            <xm:f>Tabelle2!$A$6:$A$28</xm:f>
          </x14:formula1>
          <xm:sqref>G2:K2</xm:sqref>
        </x14:dataValidation>
        <x14:dataValidation type="list" allowBlank="1" showInputMessage="1" showErrorMessage="1" promptTitle="Grund bitte auswählen" prompt="Grund bitte auswählen" xr:uid="{00000000-0002-0000-0600-000001000000}">
          <x14:formula1>
            <xm:f>Tabelle2!$A$1:$A$4</xm:f>
          </x14:formula1>
          <xm:sqref>L4:L8 L11:L15 L18:L22 L25:L29 L32</xm:sqref>
        </x14:dataValidation>
        <x14:dataValidation type="list" allowBlank="1" showInputMessage="1" showErrorMessage="1" xr:uid="{00000000-0002-0000-0600-000002000000}">
          <x14:formula1>
            <xm:f>Tabelle2!$A$1:$A$4</xm:f>
          </x14:formula1>
          <xm:sqref>L9:L10 L17 L24 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selection activeCell="B22" sqref="B22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221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227</v>
      </c>
      <c r="B4" s="5" t="str">
        <f>IF(OR(C4="",D4=""),"",IF(C4&lt;=D4,SUM(+D4,-C4,),"24:00"-C4+D4))</f>
        <v/>
      </c>
      <c r="C4" s="6"/>
      <c r="D4" s="6"/>
      <c r="E4" s="5" t="str">
        <f t="shared" ref="E4:E7" si="0">IF(OR(F4="",G4=""),"",IF(F4&lt;=G4,SUM(+G4,-F4,),"24:00"-F4+G4))</f>
        <v/>
      </c>
      <c r="F4" s="6"/>
      <c r="G4" s="6"/>
      <c r="H4" s="5" t="str">
        <f t="shared" ref="H4:H7" si="1">IF(OR(I4="",J4=""),"",IF(I4&lt;=J4,SUM(+J4,-I4,),"24:00"-I4+J4))</f>
        <v/>
      </c>
      <c r="I4" s="6"/>
      <c r="J4" s="6"/>
      <c r="K4" s="6">
        <f t="shared" ref="K4:K7" si="2">SUM(B4,E4,H4)</f>
        <v>0</v>
      </c>
      <c r="L4" s="1"/>
      <c r="M4" s="2"/>
    </row>
    <row r="5" spans="1:13" x14ac:dyDescent="0.25">
      <c r="A5" s="4" t="s">
        <v>228</v>
      </c>
      <c r="B5" s="5" t="str">
        <f t="shared" ref="B5:B7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229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230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9" t="s">
        <v>3</v>
      </c>
      <c r="B8" s="10" t="str">
        <f t="shared" ref="B8" si="4">IF(OR(C8="",D8=""),"",IF(C8&lt;=D9,SUM(+D8,-C8,),"24:00"-C8+D8))</f>
        <v/>
      </c>
      <c r="C8" s="11"/>
      <c r="D8" s="11"/>
      <c r="E8" s="10"/>
      <c r="F8" s="11"/>
      <c r="G8" s="11"/>
      <c r="H8" s="12"/>
      <c r="I8" s="11"/>
      <c r="J8" s="11"/>
      <c r="K8" s="13">
        <f>SUM(K4:K7)</f>
        <v>0</v>
      </c>
      <c r="L8" s="11"/>
      <c r="M8" s="14"/>
    </row>
    <row r="9" spans="1:13" x14ac:dyDescent="0.25">
      <c r="A9" s="3" t="s">
        <v>223</v>
      </c>
      <c r="B9" s="7"/>
      <c r="C9" s="8"/>
      <c r="D9" s="8"/>
      <c r="E9" s="7"/>
      <c r="F9" s="8"/>
      <c r="G9" s="8"/>
      <c r="H9" s="8"/>
      <c r="I9" s="8"/>
      <c r="J9" s="8"/>
      <c r="K9" s="7"/>
      <c r="L9" s="1"/>
      <c r="M9" s="2"/>
    </row>
    <row r="10" spans="1:13" x14ac:dyDescent="0.25">
      <c r="A10" s="4" t="s">
        <v>231</v>
      </c>
      <c r="B10" s="5" t="str">
        <f>IF(OR(C10="",D10=""),"",IF(C10&lt;=D10,SUM(+D10,-C10,),"24:00"-C10+D10))</f>
        <v/>
      </c>
      <c r="C10" s="6"/>
      <c r="D10" s="6"/>
      <c r="E10" s="5" t="str">
        <f t="shared" ref="E10:E14" si="5">IF(OR(F10="",G10=""),"",IF(F10&lt;=G10,SUM(+G10,-F10,),"24:00"-F10+G10))</f>
        <v/>
      </c>
      <c r="F10" s="6"/>
      <c r="G10" s="6"/>
      <c r="H10" s="5" t="str">
        <f t="shared" ref="H10:H14" si="6">IF(OR(I10="",J10=""),"",IF(I10&lt;=J10,SUM(+J10,-I10,),"24:00"-I10+J10))</f>
        <v/>
      </c>
      <c r="I10" s="6"/>
      <c r="J10" s="6"/>
      <c r="K10" s="6">
        <f t="shared" ref="K10:K14" si="7">SUM(B10,E10,H10)</f>
        <v>0</v>
      </c>
      <c r="L10" s="1"/>
      <c r="M10" s="2"/>
    </row>
    <row r="11" spans="1:13" x14ac:dyDescent="0.25">
      <c r="A11" s="4" t="s">
        <v>232</v>
      </c>
      <c r="B11" s="5" t="str">
        <f t="shared" ref="B11:B15" si="8">IF(OR(C11="",D11=""),"",IF(C11&lt;=D11,SUM(+D11,-C11,),"24:00"-C11+D11))</f>
        <v/>
      </c>
      <c r="C11" s="6"/>
      <c r="D11" s="6"/>
      <c r="E11" s="5" t="str">
        <f t="shared" si="5"/>
        <v/>
      </c>
      <c r="F11" s="6"/>
      <c r="G11" s="6"/>
      <c r="H11" s="5" t="str">
        <f t="shared" si="6"/>
        <v/>
      </c>
      <c r="I11" s="6"/>
      <c r="J11" s="6"/>
      <c r="K11" s="6">
        <f t="shared" si="7"/>
        <v>0</v>
      </c>
      <c r="L11" s="1"/>
      <c r="M11" s="2"/>
    </row>
    <row r="12" spans="1:13" x14ac:dyDescent="0.25">
      <c r="A12" s="4" t="s">
        <v>233</v>
      </c>
      <c r="B12" s="5" t="str">
        <f t="shared" si="8"/>
        <v/>
      </c>
      <c r="C12" s="6"/>
      <c r="D12" s="6"/>
      <c r="E12" s="5" t="str">
        <f t="shared" si="5"/>
        <v/>
      </c>
      <c r="F12" s="6"/>
      <c r="G12" s="6"/>
      <c r="H12" s="5" t="str">
        <f t="shared" si="6"/>
        <v/>
      </c>
      <c r="I12" s="6"/>
      <c r="J12" s="6"/>
      <c r="K12" s="6">
        <f t="shared" si="7"/>
        <v>0</v>
      </c>
      <c r="L12" s="1"/>
      <c r="M12" s="2"/>
    </row>
    <row r="13" spans="1:13" x14ac:dyDescent="0.25">
      <c r="A13" s="4" t="s">
        <v>234</v>
      </c>
      <c r="B13" s="5" t="str">
        <f t="shared" si="8"/>
        <v/>
      </c>
      <c r="C13" s="6"/>
      <c r="D13" s="6"/>
      <c r="E13" s="5" t="str">
        <f t="shared" si="5"/>
        <v/>
      </c>
      <c r="F13" s="6"/>
      <c r="G13" s="6"/>
      <c r="H13" s="5" t="str">
        <f t="shared" si="6"/>
        <v/>
      </c>
      <c r="I13" s="6"/>
      <c r="J13" s="6"/>
      <c r="K13" s="6">
        <f t="shared" si="7"/>
        <v>0</v>
      </c>
      <c r="L13" s="1"/>
      <c r="M13" s="2"/>
    </row>
    <row r="14" spans="1:13" x14ac:dyDescent="0.25">
      <c r="A14" s="4" t="s">
        <v>235</v>
      </c>
      <c r="B14" s="5" t="str">
        <f t="shared" si="8"/>
        <v/>
      </c>
      <c r="C14" s="6"/>
      <c r="D14" s="6"/>
      <c r="E14" s="5" t="str">
        <f t="shared" si="5"/>
        <v/>
      </c>
      <c r="F14" s="6"/>
      <c r="G14" s="6"/>
      <c r="H14" s="5" t="str">
        <f t="shared" si="6"/>
        <v/>
      </c>
      <c r="I14" s="6"/>
      <c r="J14" s="6"/>
      <c r="K14" s="6">
        <f t="shared" si="7"/>
        <v>0</v>
      </c>
      <c r="L14" s="1"/>
      <c r="M14" s="2"/>
    </row>
    <row r="15" spans="1:13" x14ac:dyDescent="0.25">
      <c r="A15" s="9" t="s">
        <v>3</v>
      </c>
      <c r="B15" s="5" t="str">
        <f t="shared" si="8"/>
        <v/>
      </c>
      <c r="C15" s="11"/>
      <c r="D15" s="11"/>
      <c r="E15" s="10"/>
      <c r="F15" s="11"/>
      <c r="G15" s="11"/>
      <c r="H15" s="12"/>
      <c r="I15" s="11"/>
      <c r="J15" s="11"/>
      <c r="K15" s="13">
        <f>SUM(K10:K14)</f>
        <v>0</v>
      </c>
      <c r="L15" s="11"/>
      <c r="M15" s="14"/>
    </row>
    <row r="16" spans="1:13" x14ac:dyDescent="0.25">
      <c r="A16" s="3" t="s">
        <v>224</v>
      </c>
      <c r="B16" s="7"/>
      <c r="C16" s="8"/>
      <c r="D16" s="8"/>
      <c r="E16" s="7"/>
      <c r="F16" s="8"/>
      <c r="G16" s="8"/>
      <c r="H16" s="8"/>
      <c r="I16" s="8"/>
      <c r="J16" s="8"/>
      <c r="K16" s="7"/>
      <c r="L16" s="1"/>
      <c r="M16" s="2"/>
    </row>
    <row r="17" spans="1:13" x14ac:dyDescent="0.25">
      <c r="A17" s="4" t="s">
        <v>236</v>
      </c>
      <c r="B17" s="5" t="str">
        <f t="shared" ref="B17:B35" si="9">IF(OR(C17="",D17=""),"",IF(C17&lt;=D17,SUM(+D17,-C17,),"24:00"-C17+D17))</f>
        <v/>
      </c>
      <c r="C17" s="6"/>
      <c r="D17" s="6"/>
      <c r="E17" s="5" t="str">
        <f t="shared" ref="E17:E21" si="10">IF(OR(F17="",G17=""),"",IF(F17&lt;=G17,SUM(+G17,-F17,),"24:00"-F17+G17))</f>
        <v/>
      </c>
      <c r="F17" s="6"/>
      <c r="G17" s="6"/>
      <c r="H17" s="5" t="str">
        <f t="shared" ref="H17:H21" si="11">IF(OR(I17="",J17=""),"",IF(I17&lt;=J17,SUM(+J17,-I17,),"24:00"-I17+J17))</f>
        <v/>
      </c>
      <c r="I17" s="6"/>
      <c r="J17" s="6"/>
      <c r="K17" s="6">
        <f t="shared" ref="K17:K21" si="12">SUM(B17,E17,H17)</f>
        <v>0</v>
      </c>
      <c r="L17" s="1"/>
      <c r="M17" s="2"/>
    </row>
    <row r="18" spans="1:13" x14ac:dyDescent="0.25">
      <c r="A18" s="4" t="s">
        <v>237</v>
      </c>
      <c r="B18" s="5" t="str">
        <f t="shared" si="9"/>
        <v/>
      </c>
      <c r="C18" s="6"/>
      <c r="D18" s="6"/>
      <c r="E18" s="5" t="str">
        <f t="shared" si="10"/>
        <v/>
      </c>
      <c r="F18" s="6"/>
      <c r="G18" s="6"/>
      <c r="H18" s="5" t="str">
        <f t="shared" si="11"/>
        <v/>
      </c>
      <c r="I18" s="6"/>
      <c r="J18" s="6"/>
      <c r="K18" s="6">
        <f t="shared" si="12"/>
        <v>0</v>
      </c>
      <c r="L18" s="1"/>
      <c r="M18" s="2"/>
    </row>
    <row r="19" spans="1:13" x14ac:dyDescent="0.25">
      <c r="A19" s="4" t="s">
        <v>238</v>
      </c>
      <c r="B19" s="5" t="str">
        <f t="shared" si="9"/>
        <v/>
      </c>
      <c r="C19" s="6"/>
      <c r="D19" s="6"/>
      <c r="E19" s="5" t="str">
        <f t="shared" si="10"/>
        <v/>
      </c>
      <c r="F19" s="6"/>
      <c r="G19" s="6"/>
      <c r="H19" s="5" t="str">
        <f t="shared" si="11"/>
        <v/>
      </c>
      <c r="I19" s="6"/>
      <c r="J19" s="6"/>
      <c r="K19" s="6">
        <f t="shared" si="12"/>
        <v>0</v>
      </c>
      <c r="L19" s="1"/>
      <c r="M19" s="2"/>
    </row>
    <row r="20" spans="1:13" x14ac:dyDescent="0.25">
      <c r="A20" s="4" t="s">
        <v>239</v>
      </c>
      <c r="B20" s="5" t="str">
        <f t="shared" si="9"/>
        <v/>
      </c>
      <c r="C20" s="6"/>
      <c r="D20" s="6"/>
      <c r="E20" s="5" t="str">
        <f t="shared" si="10"/>
        <v/>
      </c>
      <c r="F20" s="6"/>
      <c r="G20" s="6"/>
      <c r="H20" s="5" t="str">
        <f t="shared" si="11"/>
        <v/>
      </c>
      <c r="I20" s="6"/>
      <c r="J20" s="6"/>
      <c r="K20" s="6">
        <f t="shared" si="12"/>
        <v>0</v>
      </c>
      <c r="L20" s="1"/>
      <c r="M20" s="2"/>
    </row>
    <row r="21" spans="1:13" x14ac:dyDescent="0.25">
      <c r="A21" s="4" t="s">
        <v>240</v>
      </c>
      <c r="B21" s="5" t="str">
        <f t="shared" si="9"/>
        <v/>
      </c>
      <c r="C21" s="6"/>
      <c r="D21" s="6"/>
      <c r="E21" s="5" t="str">
        <f t="shared" si="10"/>
        <v/>
      </c>
      <c r="F21" s="6"/>
      <c r="G21" s="6"/>
      <c r="H21" s="5" t="str">
        <f t="shared" si="11"/>
        <v/>
      </c>
      <c r="I21" s="6"/>
      <c r="J21" s="6"/>
      <c r="K21" s="6">
        <f t="shared" si="12"/>
        <v>0</v>
      </c>
      <c r="L21" s="1"/>
      <c r="M21" s="2"/>
    </row>
    <row r="22" spans="1:13" x14ac:dyDescent="0.25">
      <c r="A22" s="9" t="s">
        <v>3</v>
      </c>
      <c r="B22" s="5" t="str">
        <f t="shared" si="9"/>
        <v/>
      </c>
      <c r="C22" s="11"/>
      <c r="D22" s="11"/>
      <c r="E22" s="10"/>
      <c r="F22" s="11"/>
      <c r="G22" s="11"/>
      <c r="H22" s="12"/>
      <c r="I22" s="11"/>
      <c r="J22" s="11"/>
      <c r="K22" s="13">
        <f>SUM(K17:K21)</f>
        <v>0</v>
      </c>
      <c r="L22" s="11"/>
      <c r="M22" s="14"/>
    </row>
    <row r="23" spans="1:13" x14ac:dyDescent="0.25">
      <c r="A23" s="3" t="s">
        <v>225</v>
      </c>
      <c r="B23" s="7"/>
      <c r="C23" s="8"/>
      <c r="D23" s="8"/>
      <c r="E23" s="7"/>
      <c r="F23" s="8"/>
      <c r="G23" s="8"/>
      <c r="H23" s="8"/>
      <c r="I23" s="8"/>
      <c r="J23" s="8"/>
      <c r="K23" s="7"/>
      <c r="L23" s="1"/>
      <c r="M23" s="2"/>
    </row>
    <row r="24" spans="1:13" x14ac:dyDescent="0.25">
      <c r="A24" s="4" t="s">
        <v>241</v>
      </c>
      <c r="B24" s="5" t="str">
        <f t="shared" ref="B24" si="13">IF(OR(C24="",D24=""),"",IF(C24&lt;=D24,SUM(+D24,-C24,),"24:00"-C24+D24))</f>
        <v/>
      </c>
      <c r="C24" s="6"/>
      <c r="D24" s="6"/>
      <c r="E24" s="5" t="str">
        <f t="shared" ref="E24:E28" si="14">IF(OR(F24="",G24=""),"",IF(F24&lt;=G24,SUM(+G24,-F24,),"24:00"-F24+G24))</f>
        <v/>
      </c>
      <c r="F24" s="6"/>
      <c r="G24" s="6"/>
      <c r="H24" s="5" t="str">
        <f t="shared" ref="H24:H28" si="15">IF(OR(I24="",J24=""),"",IF(I24&lt;=J24,SUM(+J24,-I24,),"24:00"-I24+J24))</f>
        <v/>
      </c>
      <c r="I24" s="6"/>
      <c r="J24" s="6"/>
      <c r="K24" s="6">
        <f t="shared" ref="K24:K28" si="16">SUM(B24,E24,H24)</f>
        <v>0</v>
      </c>
      <c r="L24" s="1"/>
      <c r="M24" s="2"/>
    </row>
    <row r="25" spans="1:13" x14ac:dyDescent="0.25">
      <c r="A25" s="4" t="s">
        <v>242</v>
      </c>
      <c r="B25" s="5" t="str">
        <f t="shared" si="9"/>
        <v/>
      </c>
      <c r="C25" s="6"/>
      <c r="D25" s="6"/>
      <c r="E25" s="5" t="str">
        <f t="shared" si="14"/>
        <v/>
      </c>
      <c r="F25" s="6"/>
      <c r="G25" s="6"/>
      <c r="H25" s="5" t="str">
        <f t="shared" si="15"/>
        <v/>
      </c>
      <c r="I25" s="6"/>
      <c r="J25" s="6"/>
      <c r="K25" s="6">
        <f t="shared" si="16"/>
        <v>0</v>
      </c>
      <c r="L25" s="1"/>
      <c r="M25" s="2"/>
    </row>
    <row r="26" spans="1:13" x14ac:dyDescent="0.25">
      <c r="A26" s="4" t="s">
        <v>243</v>
      </c>
      <c r="B26" s="5" t="str">
        <f t="shared" si="9"/>
        <v/>
      </c>
      <c r="C26" s="6"/>
      <c r="D26" s="6"/>
      <c r="E26" s="5" t="str">
        <f t="shared" si="14"/>
        <v/>
      </c>
      <c r="F26" s="6"/>
      <c r="G26" s="6"/>
      <c r="H26" s="5" t="str">
        <f t="shared" si="15"/>
        <v/>
      </c>
      <c r="I26" s="6"/>
      <c r="J26" s="6"/>
      <c r="K26" s="6">
        <f t="shared" si="16"/>
        <v>0</v>
      </c>
      <c r="L26" s="1"/>
      <c r="M26" s="2"/>
    </row>
    <row r="27" spans="1:13" x14ac:dyDescent="0.25">
      <c r="A27" s="4" t="s">
        <v>244</v>
      </c>
      <c r="B27" s="5" t="str">
        <f t="shared" si="9"/>
        <v/>
      </c>
      <c r="C27" s="6"/>
      <c r="D27" s="6"/>
      <c r="E27" s="5" t="str">
        <f t="shared" si="14"/>
        <v/>
      </c>
      <c r="F27" s="6"/>
      <c r="G27" s="6"/>
      <c r="H27" s="5" t="str">
        <f t="shared" si="15"/>
        <v/>
      </c>
      <c r="I27" s="6"/>
      <c r="J27" s="6"/>
      <c r="K27" s="6">
        <f t="shared" si="16"/>
        <v>0</v>
      </c>
      <c r="L27" s="1"/>
      <c r="M27" s="2"/>
    </row>
    <row r="28" spans="1:13" x14ac:dyDescent="0.25">
      <c r="A28" s="4" t="s">
        <v>245</v>
      </c>
      <c r="B28" s="5" t="str">
        <f t="shared" si="9"/>
        <v/>
      </c>
      <c r="C28" s="6"/>
      <c r="D28" s="6"/>
      <c r="E28" s="5" t="str">
        <f t="shared" si="14"/>
        <v/>
      </c>
      <c r="F28" s="6"/>
      <c r="G28" s="6"/>
      <c r="H28" s="5" t="str">
        <f t="shared" si="15"/>
        <v/>
      </c>
      <c r="I28" s="6"/>
      <c r="J28" s="6"/>
      <c r="K28" s="6">
        <f t="shared" si="16"/>
        <v>0</v>
      </c>
      <c r="L28" s="1"/>
      <c r="M28" s="2"/>
    </row>
    <row r="29" spans="1:13" x14ac:dyDescent="0.25">
      <c r="A29" s="9" t="s">
        <v>3</v>
      </c>
      <c r="B29" s="5" t="str">
        <f t="shared" si="9"/>
        <v/>
      </c>
      <c r="C29" s="11"/>
      <c r="D29" s="11"/>
      <c r="E29" s="10"/>
      <c r="F29" s="11"/>
      <c r="G29" s="11"/>
      <c r="H29" s="12"/>
      <c r="I29" s="11"/>
      <c r="J29" s="11"/>
      <c r="K29" s="13">
        <f>SUM(K24:K28)</f>
        <v>0</v>
      </c>
      <c r="L29" s="11"/>
      <c r="M29" s="14"/>
    </row>
    <row r="30" spans="1:13" x14ac:dyDescent="0.25">
      <c r="A30" s="3" t="s">
        <v>226</v>
      </c>
      <c r="B30" s="7"/>
      <c r="C30" s="8"/>
      <c r="D30" s="8"/>
      <c r="E30" s="7"/>
      <c r="F30" s="8"/>
      <c r="G30" s="8"/>
      <c r="H30" s="8"/>
      <c r="I30" s="8"/>
      <c r="J30" s="8"/>
      <c r="K30" s="7"/>
      <c r="L30" s="1"/>
      <c r="M30" s="2"/>
    </row>
    <row r="31" spans="1:13" x14ac:dyDescent="0.25">
      <c r="A31" s="4" t="s">
        <v>246</v>
      </c>
      <c r="B31" s="5" t="str">
        <f t="shared" ref="B31" si="17">IF(OR(C31="",D31=""),"",IF(C31&lt;=D31,SUM(+D31,-C31,),"24:00"-C31+D31))</f>
        <v/>
      </c>
      <c r="C31" s="6"/>
      <c r="D31" s="6"/>
      <c r="E31" s="5" t="str">
        <f t="shared" ref="E31:E34" si="18">IF(OR(F31="",G31=""),"",IF(F31&lt;=G31,SUM(+G31,-F31,),"24:00"-F31+G31))</f>
        <v/>
      </c>
      <c r="F31" s="6"/>
      <c r="G31" s="6"/>
      <c r="H31" s="5" t="str">
        <f t="shared" ref="H31:H34" si="19">IF(OR(I31="",J31=""),"",IF(I31&lt;=J31,SUM(+J31,-I31,),"24:00"-I31+J31))</f>
        <v/>
      </c>
      <c r="I31" s="6"/>
      <c r="J31" s="6"/>
      <c r="K31" s="6">
        <f t="shared" ref="K31:K34" si="20">SUM(B31,E31,H31)</f>
        <v>0</v>
      </c>
      <c r="L31" s="1"/>
      <c r="M31" s="2"/>
    </row>
    <row r="32" spans="1:13" x14ac:dyDescent="0.25">
      <c r="A32" s="4" t="s">
        <v>247</v>
      </c>
      <c r="B32" s="5" t="str">
        <f t="shared" si="9"/>
        <v/>
      </c>
      <c r="C32" s="6"/>
      <c r="D32" s="6"/>
      <c r="E32" s="5" t="str">
        <f t="shared" si="18"/>
        <v/>
      </c>
      <c r="F32" s="6"/>
      <c r="G32" s="6"/>
      <c r="H32" s="5" t="str">
        <f t="shared" si="19"/>
        <v/>
      </c>
      <c r="I32" s="6"/>
      <c r="J32" s="6"/>
      <c r="K32" s="6">
        <f t="shared" si="20"/>
        <v>0</v>
      </c>
      <c r="L32" s="1"/>
      <c r="M32" s="2"/>
    </row>
    <row r="33" spans="1:13" x14ac:dyDescent="0.25">
      <c r="A33" s="4" t="s">
        <v>248</v>
      </c>
      <c r="B33" s="5" t="str">
        <f t="shared" si="9"/>
        <v/>
      </c>
      <c r="C33" s="6"/>
      <c r="D33" s="6"/>
      <c r="E33" s="5" t="str">
        <f t="shared" si="18"/>
        <v/>
      </c>
      <c r="F33" s="6"/>
      <c r="G33" s="6"/>
      <c r="H33" s="5" t="str">
        <f t="shared" si="19"/>
        <v/>
      </c>
      <c r="I33" s="6"/>
      <c r="J33" s="6"/>
      <c r="K33" s="6">
        <f t="shared" si="20"/>
        <v>0</v>
      </c>
      <c r="L33" s="1"/>
      <c r="M33" s="2"/>
    </row>
    <row r="34" spans="1:13" x14ac:dyDescent="0.25">
      <c r="A34" s="4" t="s">
        <v>249</v>
      </c>
      <c r="B34" s="5" t="str">
        <f t="shared" si="9"/>
        <v/>
      </c>
      <c r="C34" s="6"/>
      <c r="D34" s="6"/>
      <c r="E34" s="5" t="str">
        <f t="shared" si="18"/>
        <v/>
      </c>
      <c r="F34" s="6"/>
      <c r="G34" s="6"/>
      <c r="H34" s="5" t="str">
        <f t="shared" si="19"/>
        <v/>
      </c>
      <c r="I34" s="6"/>
      <c r="J34" s="6"/>
      <c r="K34" s="6">
        <f t="shared" si="20"/>
        <v>0</v>
      </c>
      <c r="L34" s="1"/>
      <c r="M34" s="2"/>
    </row>
    <row r="35" spans="1:13" x14ac:dyDescent="0.25">
      <c r="A35" s="9" t="s">
        <v>3</v>
      </c>
      <c r="B35" s="5" t="str">
        <f t="shared" si="9"/>
        <v/>
      </c>
      <c r="C35" s="11"/>
      <c r="D35" s="11"/>
      <c r="E35" s="10"/>
      <c r="F35" s="11"/>
      <c r="G35" s="11"/>
      <c r="H35" s="12"/>
      <c r="I35" s="11"/>
      <c r="J35" s="11"/>
      <c r="K35" s="13">
        <f>SUM(K31:K34)</f>
        <v>0</v>
      </c>
      <c r="L35" s="11"/>
      <c r="M35" s="14"/>
    </row>
    <row r="36" spans="1:13" x14ac:dyDescent="0.25">
      <c r="D36" s="27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Tabelle2!$A$1:$A$4</xm:f>
          </x14:formula1>
          <xm:sqref>L8:L9 L16 L23 L30</xm:sqref>
        </x14:dataValidation>
        <x14:dataValidation type="list" allowBlank="1" showInputMessage="1" showErrorMessage="1" promptTitle="Grund bitte auswählen" prompt="Grund bitte auswählen" xr:uid="{00000000-0002-0000-0700-000001000000}">
          <x14:formula1>
            <xm:f>Tabelle2!$A$1:$A$4</xm:f>
          </x14:formula1>
          <xm:sqref>L10:L14 L17:L21 L24:L28 L4:L7 L31:L34</xm:sqref>
        </x14:dataValidation>
        <x14:dataValidation type="list" allowBlank="1" showInputMessage="1" showErrorMessage="1" promptTitle="bewilligte Tage" prompt="Bewilligte/n Wochentag/e bitte auswählen" xr:uid="{00000000-0002-0000-0700-000002000000}">
          <x14:formula1>
            <xm:f>Tabelle2!$A$6:$A$28</xm:f>
          </x14:formula1>
          <xm:sqref>G2:K2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selection activeCell="B22" sqref="B22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226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254</v>
      </c>
      <c r="B4" s="5" t="str">
        <f>IF(OR(C4="",D4=""),"",IF(C4&lt;=D4,SUM(+D4,-C4,),"24:00"-C4+D4))</f>
        <v/>
      </c>
      <c r="C4" s="6"/>
      <c r="D4" s="6"/>
      <c r="E4" s="5" t="str">
        <f t="shared" ref="E4" si="0">IF(OR(F4="",G4=""),"",IF(F4&lt;=G4,SUM(+G4,-F4,),"24:00"-F4+G4))</f>
        <v/>
      </c>
      <c r="F4" s="6"/>
      <c r="G4" s="6"/>
      <c r="H4" s="5" t="str">
        <f t="shared" ref="H4" si="1">IF(OR(I4="",J4=""),"",IF(I4&lt;=J4,SUM(+J4,-I4,),"24:00"-I4+J4))</f>
        <v/>
      </c>
      <c r="I4" s="6"/>
      <c r="J4" s="6"/>
      <c r="K4" s="6">
        <f t="shared" ref="K4" si="2">SUM(B4,E4,H4)</f>
        <v>0</v>
      </c>
      <c r="L4" s="1"/>
      <c r="M4" s="2"/>
    </row>
    <row r="5" spans="1:13" x14ac:dyDescent="0.25">
      <c r="A5" s="9" t="s">
        <v>3</v>
      </c>
      <c r="B5" s="10" t="str">
        <f t="shared" ref="B5" si="3">IF(OR(C5="",D5=""),"",IF(C5&lt;=D6,SUM(+D5,-C5,),"24:00"-C5+D5))</f>
        <v/>
      </c>
      <c r="C5" s="11"/>
      <c r="D5" s="11"/>
      <c r="E5" s="10"/>
      <c r="F5" s="11"/>
      <c r="G5" s="11"/>
      <c r="H5" s="12"/>
      <c r="I5" s="11"/>
      <c r="J5" s="11"/>
      <c r="K5" s="13">
        <f>SUM(K4:K4)</f>
        <v>0</v>
      </c>
      <c r="L5" s="11"/>
      <c r="M5" s="14"/>
    </row>
    <row r="6" spans="1:13" x14ac:dyDescent="0.25">
      <c r="A6" s="3" t="s">
        <v>250</v>
      </c>
      <c r="B6" s="7"/>
      <c r="C6" s="8"/>
      <c r="D6" s="8"/>
      <c r="E6" s="7"/>
      <c r="F6" s="8"/>
      <c r="G6" s="8"/>
      <c r="H6" s="8"/>
      <c r="I6" s="8"/>
      <c r="J6" s="8"/>
      <c r="K6" s="7"/>
      <c r="L6" s="1"/>
      <c r="M6" s="2"/>
    </row>
    <row r="7" spans="1:13" x14ac:dyDescent="0.25">
      <c r="A7" s="4" t="s">
        <v>255</v>
      </c>
      <c r="B7" s="5" t="str">
        <f>IF(OR(C7="",D7=""),"",IF(C7&lt;=D7,SUM(+D7,-C7,),"24:00"-C7+D7))</f>
        <v/>
      </c>
      <c r="C7" s="6"/>
      <c r="D7" s="6"/>
      <c r="E7" s="5" t="str">
        <f t="shared" ref="E7:E11" si="4">IF(OR(F7="",G7=""),"",IF(F7&lt;=G7,SUM(+G7,-F7,),"24:00"-F7+G7))</f>
        <v/>
      </c>
      <c r="F7" s="6"/>
      <c r="G7" s="6"/>
      <c r="H7" s="5" t="str">
        <f t="shared" ref="H7:H11" si="5">IF(OR(I7="",J7=""),"",IF(I7&lt;=J7,SUM(+J7,-I7,),"24:00"-I7+J7))</f>
        <v/>
      </c>
      <c r="I7" s="6"/>
      <c r="J7" s="6"/>
      <c r="K7" s="6">
        <f t="shared" ref="K7:K11" si="6">SUM(B7,E7,H7)</f>
        <v>0</v>
      </c>
      <c r="L7" s="1"/>
      <c r="M7" s="2"/>
    </row>
    <row r="8" spans="1:13" x14ac:dyDescent="0.25">
      <c r="A8" s="4" t="s">
        <v>256</v>
      </c>
      <c r="B8" s="5" t="str">
        <f t="shared" ref="B8:B12" si="7">IF(OR(C8="",D8=""),"",IF(C8&lt;=D8,SUM(+D8,-C8,),"24:00"-C8+D8))</f>
        <v/>
      </c>
      <c r="C8" s="6"/>
      <c r="D8" s="6"/>
      <c r="E8" s="5" t="str">
        <f t="shared" si="4"/>
        <v/>
      </c>
      <c r="F8" s="6"/>
      <c r="G8" s="6"/>
      <c r="H8" s="5" t="str">
        <f t="shared" si="5"/>
        <v/>
      </c>
      <c r="I8" s="6"/>
      <c r="J8" s="6"/>
      <c r="K8" s="6">
        <f t="shared" si="6"/>
        <v>0</v>
      </c>
      <c r="L8" s="1"/>
      <c r="M8" s="2"/>
    </row>
    <row r="9" spans="1:13" x14ac:dyDescent="0.25">
      <c r="A9" s="4" t="s">
        <v>257</v>
      </c>
      <c r="B9" s="5" t="str">
        <f t="shared" si="7"/>
        <v/>
      </c>
      <c r="C9" s="6"/>
      <c r="D9" s="6"/>
      <c r="E9" s="5" t="str">
        <f t="shared" si="4"/>
        <v/>
      </c>
      <c r="F9" s="6"/>
      <c r="G9" s="6"/>
      <c r="H9" s="5" t="str">
        <f t="shared" si="5"/>
        <v/>
      </c>
      <c r="I9" s="6"/>
      <c r="J9" s="6"/>
      <c r="K9" s="6">
        <f t="shared" si="6"/>
        <v>0</v>
      </c>
      <c r="L9" s="1"/>
      <c r="M9" s="2"/>
    </row>
    <row r="10" spans="1:13" x14ac:dyDescent="0.25">
      <c r="A10" s="4" t="s">
        <v>258</v>
      </c>
      <c r="B10" s="5" t="str">
        <f t="shared" si="7"/>
        <v/>
      </c>
      <c r="C10" s="6"/>
      <c r="D10" s="6"/>
      <c r="E10" s="5" t="str">
        <f t="shared" si="4"/>
        <v/>
      </c>
      <c r="F10" s="6"/>
      <c r="G10" s="6"/>
      <c r="H10" s="5" t="str">
        <f t="shared" si="5"/>
        <v/>
      </c>
      <c r="I10" s="6"/>
      <c r="J10" s="6"/>
      <c r="K10" s="6">
        <f t="shared" si="6"/>
        <v>0</v>
      </c>
      <c r="L10" s="1"/>
      <c r="M10" s="2"/>
    </row>
    <row r="11" spans="1:13" x14ac:dyDescent="0.25">
      <c r="A11" s="4" t="s">
        <v>259</v>
      </c>
      <c r="B11" s="5" t="str">
        <f t="shared" si="7"/>
        <v/>
      </c>
      <c r="C11" s="6"/>
      <c r="D11" s="6"/>
      <c r="E11" s="5" t="str">
        <f t="shared" si="4"/>
        <v/>
      </c>
      <c r="F11" s="6"/>
      <c r="G11" s="6"/>
      <c r="H11" s="5" t="str">
        <f t="shared" si="5"/>
        <v/>
      </c>
      <c r="I11" s="6"/>
      <c r="J11" s="6"/>
      <c r="K11" s="6">
        <f t="shared" si="6"/>
        <v>0</v>
      </c>
      <c r="L11" s="1"/>
      <c r="M11" s="2"/>
    </row>
    <row r="12" spans="1:13" x14ac:dyDescent="0.25">
      <c r="A12" s="9" t="s">
        <v>3</v>
      </c>
      <c r="B12" s="5" t="str">
        <f t="shared" si="7"/>
        <v/>
      </c>
      <c r="C12" s="11"/>
      <c r="D12" s="11"/>
      <c r="E12" s="10"/>
      <c r="F12" s="11"/>
      <c r="G12" s="11"/>
      <c r="H12" s="12"/>
      <c r="I12" s="11"/>
      <c r="J12" s="11"/>
      <c r="K12" s="13">
        <f>SUM(K7:K11)</f>
        <v>0</v>
      </c>
      <c r="L12" s="11"/>
      <c r="M12" s="14"/>
    </row>
    <row r="13" spans="1:13" x14ac:dyDescent="0.25">
      <c r="A13" s="3" t="s">
        <v>251</v>
      </c>
      <c r="B13" s="7"/>
      <c r="C13" s="8"/>
      <c r="D13" s="8"/>
      <c r="E13" s="7"/>
      <c r="F13" s="8"/>
      <c r="G13" s="8"/>
      <c r="H13" s="8"/>
      <c r="I13" s="8"/>
      <c r="J13" s="8"/>
      <c r="K13" s="7"/>
      <c r="L13" s="1"/>
      <c r="M13" s="2"/>
    </row>
    <row r="14" spans="1:13" x14ac:dyDescent="0.25">
      <c r="A14" s="4" t="s">
        <v>260</v>
      </c>
      <c r="B14" s="5" t="str">
        <f t="shared" ref="B14:B33" si="8">IF(OR(C14="",D14=""),"",IF(C14&lt;=D14,SUM(+D14,-C14,),"24:00"-C14+D14))</f>
        <v/>
      </c>
      <c r="C14" s="6"/>
      <c r="D14" s="6"/>
      <c r="E14" s="5" t="str">
        <f t="shared" ref="E14:E18" si="9">IF(OR(F14="",G14=""),"",IF(F14&lt;=G14,SUM(+G14,-F14,),"24:00"-F14+G14))</f>
        <v/>
      </c>
      <c r="F14" s="6"/>
      <c r="G14" s="6"/>
      <c r="H14" s="5" t="str">
        <f t="shared" ref="H14:H18" si="10">IF(OR(I14="",J14=""),"",IF(I14&lt;=J14,SUM(+J14,-I14,),"24:00"-I14+J14))</f>
        <v/>
      </c>
      <c r="I14" s="6"/>
      <c r="J14" s="6"/>
      <c r="K14" s="6">
        <f t="shared" ref="K14:K18" si="11">SUM(B14,E14,H14)</f>
        <v>0</v>
      </c>
      <c r="L14" s="1"/>
      <c r="M14" s="2"/>
    </row>
    <row r="15" spans="1:13" x14ac:dyDescent="0.25">
      <c r="A15" s="4" t="s">
        <v>261</v>
      </c>
      <c r="B15" s="5" t="str">
        <f t="shared" si="8"/>
        <v/>
      </c>
      <c r="C15" s="6"/>
      <c r="D15" s="6"/>
      <c r="E15" s="5" t="str">
        <f t="shared" si="9"/>
        <v/>
      </c>
      <c r="F15" s="6"/>
      <c r="G15" s="6"/>
      <c r="H15" s="5" t="str">
        <f t="shared" si="10"/>
        <v/>
      </c>
      <c r="I15" s="6"/>
      <c r="J15" s="6"/>
      <c r="K15" s="6">
        <f t="shared" si="11"/>
        <v>0</v>
      </c>
      <c r="L15" s="1"/>
      <c r="M15" s="2"/>
    </row>
    <row r="16" spans="1:13" x14ac:dyDescent="0.25">
      <c r="A16" s="4" t="s">
        <v>262</v>
      </c>
      <c r="B16" s="5" t="str">
        <f t="shared" si="8"/>
        <v/>
      </c>
      <c r="C16" s="6"/>
      <c r="D16" s="6"/>
      <c r="E16" s="5" t="str">
        <f t="shared" si="9"/>
        <v/>
      </c>
      <c r="F16" s="6"/>
      <c r="G16" s="6"/>
      <c r="H16" s="5" t="str">
        <f t="shared" si="10"/>
        <v/>
      </c>
      <c r="I16" s="6"/>
      <c r="J16" s="6"/>
      <c r="K16" s="6">
        <f t="shared" si="11"/>
        <v>0</v>
      </c>
      <c r="L16" s="1"/>
      <c r="M16" s="2"/>
    </row>
    <row r="17" spans="1:13" x14ac:dyDescent="0.25">
      <c r="A17" s="4" t="s">
        <v>263</v>
      </c>
      <c r="B17" s="5" t="str">
        <f t="shared" si="8"/>
        <v/>
      </c>
      <c r="C17" s="6"/>
      <c r="D17" s="6"/>
      <c r="E17" s="5" t="str">
        <f t="shared" si="9"/>
        <v/>
      </c>
      <c r="F17" s="6"/>
      <c r="G17" s="6"/>
      <c r="H17" s="5" t="str">
        <f t="shared" si="10"/>
        <v/>
      </c>
      <c r="I17" s="6"/>
      <c r="J17" s="6"/>
      <c r="K17" s="6">
        <f t="shared" si="11"/>
        <v>0</v>
      </c>
      <c r="L17" s="1"/>
      <c r="M17" s="2"/>
    </row>
    <row r="18" spans="1:13" x14ac:dyDescent="0.25">
      <c r="A18" s="4" t="s">
        <v>264</v>
      </c>
      <c r="B18" s="5" t="str">
        <f t="shared" si="8"/>
        <v/>
      </c>
      <c r="C18" s="6"/>
      <c r="D18" s="6"/>
      <c r="E18" s="5" t="str">
        <f t="shared" si="9"/>
        <v/>
      </c>
      <c r="F18" s="6"/>
      <c r="G18" s="6"/>
      <c r="H18" s="5" t="str">
        <f t="shared" si="10"/>
        <v/>
      </c>
      <c r="I18" s="6"/>
      <c r="J18" s="6"/>
      <c r="K18" s="6">
        <f t="shared" si="11"/>
        <v>0</v>
      </c>
      <c r="L18" s="1"/>
      <c r="M18" s="2"/>
    </row>
    <row r="19" spans="1:13" x14ac:dyDescent="0.25">
      <c r="A19" s="9" t="s">
        <v>3</v>
      </c>
      <c r="B19" s="5" t="str">
        <f t="shared" si="8"/>
        <v/>
      </c>
      <c r="C19" s="11"/>
      <c r="D19" s="11"/>
      <c r="E19" s="10"/>
      <c r="F19" s="11"/>
      <c r="G19" s="11"/>
      <c r="H19" s="12"/>
      <c r="I19" s="11"/>
      <c r="J19" s="11"/>
      <c r="K19" s="13">
        <f>SUM(K14:K18)</f>
        <v>0</v>
      </c>
      <c r="L19" s="11"/>
      <c r="M19" s="14"/>
    </row>
    <row r="20" spans="1:13" x14ac:dyDescent="0.25">
      <c r="A20" s="3" t="s">
        <v>252</v>
      </c>
      <c r="B20" s="7"/>
      <c r="C20" s="8"/>
      <c r="D20" s="8"/>
      <c r="E20" s="7"/>
      <c r="F20" s="8"/>
      <c r="G20" s="8"/>
      <c r="H20" s="8"/>
      <c r="I20" s="8"/>
      <c r="J20" s="8"/>
      <c r="K20" s="7"/>
      <c r="L20" s="1"/>
      <c r="M20" s="2"/>
    </row>
    <row r="21" spans="1:13" x14ac:dyDescent="0.25">
      <c r="A21" s="4" t="s">
        <v>265</v>
      </c>
      <c r="B21" s="5" t="str">
        <f t="shared" ref="B21" si="12">IF(OR(C21="",D21=""),"",IF(C21&lt;=D21,SUM(+D21,-C21,),"24:00"-C21+D21))</f>
        <v/>
      </c>
      <c r="C21" s="6"/>
      <c r="D21" s="6"/>
      <c r="E21" s="5" t="str">
        <f t="shared" ref="E21:E25" si="13">IF(OR(F21="",G21=""),"",IF(F21&lt;=G21,SUM(+G21,-F21,),"24:00"-F21+G21))</f>
        <v/>
      </c>
      <c r="F21" s="6"/>
      <c r="G21" s="6"/>
      <c r="H21" s="5" t="str">
        <f t="shared" ref="H21:H25" si="14">IF(OR(I21="",J21=""),"",IF(I21&lt;=J21,SUM(+J21,-I21,),"24:00"-I21+J21))</f>
        <v/>
      </c>
      <c r="I21" s="6"/>
      <c r="J21" s="6"/>
      <c r="K21" s="6">
        <f t="shared" ref="K21:K25" si="15">SUM(B21,E21,H21)</f>
        <v>0</v>
      </c>
      <c r="L21" s="1"/>
      <c r="M21" s="2"/>
    </row>
    <row r="22" spans="1:13" x14ac:dyDescent="0.25">
      <c r="A22" s="4" t="s">
        <v>266</v>
      </c>
      <c r="B22" s="5" t="str">
        <f t="shared" si="8"/>
        <v/>
      </c>
      <c r="C22" s="6"/>
      <c r="D22" s="6"/>
      <c r="E22" s="5" t="str">
        <f t="shared" si="13"/>
        <v/>
      </c>
      <c r="F22" s="6"/>
      <c r="G22" s="6"/>
      <c r="H22" s="5" t="str">
        <f t="shared" si="14"/>
        <v/>
      </c>
      <c r="I22" s="6"/>
      <c r="J22" s="6"/>
      <c r="K22" s="6">
        <f t="shared" si="15"/>
        <v>0</v>
      </c>
      <c r="L22" s="1"/>
      <c r="M22" s="2"/>
    </row>
    <row r="23" spans="1:13" x14ac:dyDescent="0.25">
      <c r="A23" s="4" t="s">
        <v>267</v>
      </c>
      <c r="B23" s="5" t="str">
        <f t="shared" si="8"/>
        <v/>
      </c>
      <c r="C23" s="6"/>
      <c r="D23" s="6"/>
      <c r="E23" s="5" t="str">
        <f t="shared" si="13"/>
        <v/>
      </c>
      <c r="F23" s="6"/>
      <c r="G23" s="6"/>
      <c r="H23" s="5" t="str">
        <f t="shared" si="14"/>
        <v/>
      </c>
      <c r="I23" s="6"/>
      <c r="J23" s="6"/>
      <c r="K23" s="6">
        <f t="shared" si="15"/>
        <v>0</v>
      </c>
      <c r="L23" s="1"/>
      <c r="M23" s="2"/>
    </row>
    <row r="24" spans="1:13" x14ac:dyDescent="0.25">
      <c r="A24" s="4" t="s">
        <v>268</v>
      </c>
      <c r="B24" s="5" t="str">
        <f t="shared" si="8"/>
        <v/>
      </c>
      <c r="C24" s="6"/>
      <c r="D24" s="6"/>
      <c r="E24" s="5" t="str">
        <f t="shared" si="13"/>
        <v/>
      </c>
      <c r="F24" s="6"/>
      <c r="G24" s="6"/>
      <c r="H24" s="5" t="str">
        <f t="shared" si="14"/>
        <v/>
      </c>
      <c r="I24" s="6"/>
      <c r="J24" s="6"/>
      <c r="K24" s="6">
        <f t="shared" si="15"/>
        <v>0</v>
      </c>
      <c r="L24" s="1"/>
      <c r="M24" s="2"/>
    </row>
    <row r="25" spans="1:13" x14ac:dyDescent="0.25">
      <c r="A25" s="4" t="s">
        <v>269</v>
      </c>
      <c r="B25" s="5" t="str">
        <f t="shared" si="8"/>
        <v/>
      </c>
      <c r="C25" s="6"/>
      <c r="D25" s="6"/>
      <c r="E25" s="5" t="str">
        <f t="shared" si="13"/>
        <v/>
      </c>
      <c r="F25" s="6"/>
      <c r="G25" s="6"/>
      <c r="H25" s="5" t="str">
        <f t="shared" si="14"/>
        <v/>
      </c>
      <c r="I25" s="6"/>
      <c r="J25" s="6"/>
      <c r="K25" s="6">
        <f t="shared" si="15"/>
        <v>0</v>
      </c>
      <c r="L25" s="1"/>
      <c r="M25" s="2"/>
    </row>
    <row r="26" spans="1:13" x14ac:dyDescent="0.25">
      <c r="A26" s="9" t="s">
        <v>3</v>
      </c>
      <c r="B26" s="5" t="str">
        <f t="shared" si="8"/>
        <v/>
      </c>
      <c r="C26" s="11"/>
      <c r="D26" s="11"/>
      <c r="E26" s="10"/>
      <c r="F26" s="11"/>
      <c r="G26" s="11"/>
      <c r="H26" s="12"/>
      <c r="I26" s="11"/>
      <c r="J26" s="11"/>
      <c r="K26" s="13">
        <f>SUM(K21:K25)</f>
        <v>0</v>
      </c>
      <c r="L26" s="11"/>
      <c r="M26" s="14"/>
    </row>
    <row r="27" spans="1:13" x14ac:dyDescent="0.25">
      <c r="A27" s="3" t="s">
        <v>253</v>
      </c>
      <c r="B27" s="7"/>
      <c r="C27" s="8"/>
      <c r="D27" s="8"/>
      <c r="E27" s="7"/>
      <c r="F27" s="8"/>
      <c r="G27" s="8"/>
      <c r="H27" s="8"/>
      <c r="I27" s="8"/>
      <c r="J27" s="8"/>
      <c r="K27" s="7"/>
      <c r="L27" s="1"/>
      <c r="M27" s="2"/>
    </row>
    <row r="28" spans="1:13" x14ac:dyDescent="0.25">
      <c r="A28" s="4" t="s">
        <v>270</v>
      </c>
      <c r="B28" s="5" t="str">
        <f t="shared" ref="B28" si="16">IF(OR(C28="",D28=""),"",IF(C28&lt;=D28,SUM(+D28,-C28,),"24:00"-C28+D28))</f>
        <v/>
      </c>
      <c r="C28" s="6"/>
      <c r="D28" s="6"/>
      <c r="E28" s="5" t="str">
        <f t="shared" ref="E28:E32" si="17">IF(OR(F28="",G28=""),"",IF(F28&lt;=G28,SUM(+G28,-F28,),"24:00"-F28+G28))</f>
        <v/>
      </c>
      <c r="F28" s="6"/>
      <c r="G28" s="6"/>
      <c r="H28" s="5" t="str">
        <f t="shared" ref="H28:H32" si="18">IF(OR(I28="",J28=""),"",IF(I28&lt;=J28,SUM(+J28,-I28,),"24:00"-I28+J28))</f>
        <v/>
      </c>
      <c r="I28" s="6"/>
      <c r="J28" s="6"/>
      <c r="K28" s="6">
        <f t="shared" ref="K28:K32" si="19">SUM(B28,E28,H28)</f>
        <v>0</v>
      </c>
      <c r="L28" s="1"/>
      <c r="M28" s="2"/>
    </row>
    <row r="29" spans="1:13" x14ac:dyDescent="0.25">
      <c r="A29" s="4" t="s">
        <v>271</v>
      </c>
      <c r="B29" s="5" t="str">
        <f t="shared" si="8"/>
        <v/>
      </c>
      <c r="C29" s="6"/>
      <c r="D29" s="6"/>
      <c r="E29" s="5" t="str">
        <f t="shared" si="17"/>
        <v/>
      </c>
      <c r="F29" s="6"/>
      <c r="G29" s="6"/>
      <c r="H29" s="5" t="str">
        <f t="shared" si="18"/>
        <v/>
      </c>
      <c r="I29" s="6"/>
      <c r="J29" s="6"/>
      <c r="K29" s="6">
        <f t="shared" si="19"/>
        <v>0</v>
      </c>
      <c r="L29" s="1"/>
      <c r="M29" s="2"/>
    </row>
    <row r="30" spans="1:13" x14ac:dyDescent="0.25">
      <c r="A30" s="4" t="s">
        <v>272</v>
      </c>
      <c r="B30" s="5" t="str">
        <f t="shared" si="8"/>
        <v/>
      </c>
      <c r="C30" s="6"/>
      <c r="D30" s="6"/>
      <c r="E30" s="5" t="str">
        <f t="shared" si="17"/>
        <v/>
      </c>
      <c r="F30" s="6"/>
      <c r="G30" s="6"/>
      <c r="H30" s="5" t="str">
        <f t="shared" si="18"/>
        <v/>
      </c>
      <c r="I30" s="6"/>
      <c r="J30" s="6"/>
      <c r="K30" s="6">
        <f t="shared" si="19"/>
        <v>0</v>
      </c>
      <c r="L30" s="1"/>
      <c r="M30" s="2"/>
    </row>
    <row r="31" spans="1:13" x14ac:dyDescent="0.25">
      <c r="A31" s="4" t="s">
        <v>273</v>
      </c>
      <c r="B31" s="5" t="str">
        <f t="shared" si="8"/>
        <v/>
      </c>
      <c r="C31" s="6"/>
      <c r="D31" s="6"/>
      <c r="E31" s="5" t="str">
        <f t="shared" si="17"/>
        <v/>
      </c>
      <c r="F31" s="6"/>
      <c r="G31" s="6"/>
      <c r="H31" s="5" t="str">
        <f t="shared" si="18"/>
        <v/>
      </c>
      <c r="I31" s="6"/>
      <c r="J31" s="6"/>
      <c r="K31" s="6">
        <f t="shared" si="19"/>
        <v>0</v>
      </c>
      <c r="L31" s="1"/>
      <c r="M31" s="2"/>
    </row>
    <row r="32" spans="1:13" x14ac:dyDescent="0.25">
      <c r="A32" s="4" t="s">
        <v>274</v>
      </c>
      <c r="B32" s="5" t="str">
        <f t="shared" si="8"/>
        <v/>
      </c>
      <c r="C32" s="6"/>
      <c r="D32" s="6"/>
      <c r="E32" s="5" t="str">
        <f t="shared" si="17"/>
        <v/>
      </c>
      <c r="F32" s="6"/>
      <c r="G32" s="6"/>
      <c r="H32" s="5" t="str">
        <f t="shared" si="18"/>
        <v/>
      </c>
      <c r="I32" s="6"/>
      <c r="J32" s="6"/>
      <c r="K32" s="6">
        <f t="shared" si="19"/>
        <v>0</v>
      </c>
      <c r="L32" s="1"/>
      <c r="M32" s="2"/>
    </row>
    <row r="33" spans="1:13" x14ac:dyDescent="0.25">
      <c r="A33" s="9" t="s">
        <v>3</v>
      </c>
      <c r="B33" s="5" t="str">
        <f t="shared" si="8"/>
        <v/>
      </c>
      <c r="C33" s="11"/>
      <c r="D33" s="11"/>
      <c r="E33" s="10"/>
      <c r="F33" s="11"/>
      <c r="G33" s="11"/>
      <c r="H33" s="12"/>
      <c r="I33" s="11"/>
      <c r="J33" s="11"/>
      <c r="K33" s="13">
        <f>SUM(K28:K32)</f>
        <v>0</v>
      </c>
      <c r="L33" s="11"/>
      <c r="M33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bewilligte Tage" prompt="Bewilligte/n Wochentag/e bitte auswählen" xr:uid="{00000000-0002-0000-0800-000000000000}">
          <x14:formula1>
            <xm:f>Tabelle2!$A$6:$A$28</xm:f>
          </x14:formula1>
          <xm:sqref>G2:K2</xm:sqref>
        </x14:dataValidation>
        <x14:dataValidation type="list" allowBlank="1" showInputMessage="1" showErrorMessage="1" promptTitle="Grund bitte auswählen" prompt="Grund bitte auswählen" xr:uid="{00000000-0002-0000-0800-000001000000}">
          <x14:formula1>
            <xm:f>Tabelle2!$A$1:$A$4</xm:f>
          </x14:formula1>
          <xm:sqref>L7:L11 L14:L18 L21:L25 L4 L28:L32</xm:sqref>
        </x14:dataValidation>
        <x14:dataValidation type="list" allowBlank="1" showInputMessage="1" showErrorMessage="1" xr:uid="{00000000-0002-0000-0800-000002000000}">
          <x14:formula1>
            <xm:f>Tabelle2!$A$1:$A$4</xm:f>
          </x14:formula1>
          <xm:sqref>L5:L6 L13 L20 L27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>
      <selection activeCell="M6" sqref="M6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275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279</v>
      </c>
      <c r="B4" s="5" t="str">
        <f>IF(OR(C4="",D4=""),"",IF(C4&lt;=D4,SUM(+D4,-C4,),"24:00"-C4+D4))</f>
        <v/>
      </c>
      <c r="C4" s="6"/>
      <c r="D4" s="6"/>
      <c r="E4" s="5" t="str">
        <f t="shared" ref="E4:E8" si="0">IF(OR(F4="",G4=""),"",IF(F4&lt;=G4,SUM(+G4,-F4,),"24:00"-F4+G4))</f>
        <v/>
      </c>
      <c r="F4" s="6"/>
      <c r="G4" s="6"/>
      <c r="H4" s="5" t="str">
        <f t="shared" ref="H4:H8" si="1">IF(OR(I4="",J4=""),"",IF(I4&lt;=J4,SUM(+J4,-I4,),"24:00"-I4+J4))</f>
        <v/>
      </c>
      <c r="I4" s="6"/>
      <c r="J4" s="6"/>
      <c r="K4" s="6">
        <f t="shared" ref="K4:K8" si="2">SUM(B4,E4,H4)</f>
        <v>0</v>
      </c>
      <c r="L4" s="1"/>
      <c r="M4" s="2"/>
    </row>
    <row r="5" spans="1:13" x14ac:dyDescent="0.25">
      <c r="A5" s="4" t="s">
        <v>280</v>
      </c>
      <c r="B5" s="5" t="str">
        <f t="shared" ref="B5:B9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 t="s">
        <v>37</v>
      </c>
    </row>
    <row r="6" spans="1:13" x14ac:dyDescent="0.25">
      <c r="A6" s="4" t="s">
        <v>281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4" t="s">
        <v>282</v>
      </c>
      <c r="B7" s="5" t="str">
        <f t="shared" si="3"/>
        <v/>
      </c>
      <c r="C7" s="6"/>
      <c r="D7" s="6"/>
      <c r="E7" s="5" t="str">
        <f t="shared" si="0"/>
        <v/>
      </c>
      <c r="F7" s="6"/>
      <c r="G7" s="6"/>
      <c r="H7" s="5" t="str">
        <f t="shared" si="1"/>
        <v/>
      </c>
      <c r="I7" s="6"/>
      <c r="J7" s="6"/>
      <c r="K7" s="6">
        <f t="shared" si="2"/>
        <v>0</v>
      </c>
      <c r="L7" s="1"/>
      <c r="M7" s="2"/>
    </row>
    <row r="8" spans="1:13" x14ac:dyDescent="0.25">
      <c r="A8" s="4" t="s">
        <v>283</v>
      </c>
      <c r="B8" s="5" t="str">
        <f t="shared" si="3"/>
        <v/>
      </c>
      <c r="C8" s="6"/>
      <c r="D8" s="6"/>
      <c r="E8" s="5" t="str">
        <f t="shared" si="0"/>
        <v/>
      </c>
      <c r="F8" s="6"/>
      <c r="G8" s="6"/>
      <c r="H8" s="5" t="str">
        <f t="shared" si="1"/>
        <v/>
      </c>
      <c r="I8" s="6"/>
      <c r="J8" s="6"/>
      <c r="K8" s="6">
        <f t="shared" si="2"/>
        <v>0</v>
      </c>
      <c r="L8" s="1"/>
      <c r="M8" s="2"/>
    </row>
    <row r="9" spans="1:13" x14ac:dyDescent="0.25">
      <c r="A9" s="9" t="s">
        <v>3</v>
      </c>
      <c r="B9" s="5" t="str">
        <f t="shared" si="3"/>
        <v/>
      </c>
      <c r="C9" s="11"/>
      <c r="D9" s="11"/>
      <c r="E9" s="10"/>
      <c r="F9" s="11"/>
      <c r="G9" s="11"/>
      <c r="H9" s="12"/>
      <c r="I9" s="11"/>
      <c r="J9" s="11"/>
      <c r="K9" s="13">
        <f>SUM(K4:K8)</f>
        <v>0</v>
      </c>
      <c r="L9" s="11"/>
      <c r="M9" s="14"/>
    </row>
    <row r="10" spans="1:13" x14ac:dyDescent="0.25">
      <c r="A10" s="3" t="s">
        <v>276</v>
      </c>
      <c r="B10" s="17"/>
      <c r="C10" s="8"/>
      <c r="D10" s="8"/>
      <c r="E10" s="7"/>
      <c r="F10" s="8"/>
      <c r="G10" s="8"/>
      <c r="H10" s="8"/>
      <c r="I10" s="8"/>
      <c r="J10" s="8"/>
      <c r="K10" s="7"/>
      <c r="L10" s="1"/>
      <c r="M10" s="2"/>
    </row>
    <row r="11" spans="1:13" x14ac:dyDescent="0.25">
      <c r="A11" s="4" t="s">
        <v>284</v>
      </c>
      <c r="B11" s="5" t="str">
        <f>IF(OR(C11="",D11=""),"",IF(C11&lt;=D11,SUM(+D11,-C11,),"24:00"-C11+D11))</f>
        <v/>
      </c>
      <c r="C11" s="6"/>
      <c r="D11" s="6"/>
      <c r="E11" s="5" t="str">
        <f t="shared" ref="E11:E15" si="4">IF(OR(F11="",G11=""),"",IF(F11&lt;=G11,SUM(+G11,-F11,),"24:00"-F11+G11))</f>
        <v/>
      </c>
      <c r="F11" s="6"/>
      <c r="G11" s="6"/>
      <c r="H11" s="5" t="str">
        <f t="shared" ref="H11:H15" si="5">IF(OR(I11="",J11=""),"",IF(I11&lt;=J11,SUM(+J11,-I11,),"24:00"-I11+J11))</f>
        <v/>
      </c>
      <c r="I11" s="6"/>
      <c r="J11" s="6"/>
      <c r="K11" s="6">
        <f t="shared" ref="K11:K15" si="6">SUM(B11,E11,H11)</f>
        <v>0</v>
      </c>
      <c r="L11" s="1"/>
      <c r="M11" s="2"/>
    </row>
    <row r="12" spans="1:13" x14ac:dyDescent="0.25">
      <c r="A12" s="4" t="s">
        <v>285</v>
      </c>
      <c r="B12" s="5" t="str">
        <f t="shared" ref="B12:B16" si="7">IF(OR(C12="",D12=""),"",IF(C12&lt;=D12,SUM(+D12,-C12,),"24:00"-C12+D12))</f>
        <v/>
      </c>
      <c r="C12" s="6"/>
      <c r="D12" s="6"/>
      <c r="E12" s="5" t="str">
        <f t="shared" si="4"/>
        <v/>
      </c>
      <c r="F12" s="6"/>
      <c r="G12" s="6"/>
      <c r="H12" s="5" t="str">
        <f t="shared" si="5"/>
        <v/>
      </c>
      <c r="I12" s="6"/>
      <c r="J12" s="6"/>
      <c r="K12" s="6">
        <f t="shared" si="6"/>
        <v>0</v>
      </c>
      <c r="L12" s="1"/>
      <c r="M12" s="2"/>
    </row>
    <row r="13" spans="1:13" x14ac:dyDescent="0.25">
      <c r="A13" s="4" t="s">
        <v>286</v>
      </c>
      <c r="B13" s="5" t="str">
        <f t="shared" si="7"/>
        <v/>
      </c>
      <c r="C13" s="6"/>
      <c r="D13" s="6"/>
      <c r="E13" s="5" t="str">
        <f t="shared" si="4"/>
        <v/>
      </c>
      <c r="F13" s="6"/>
      <c r="G13" s="6"/>
      <c r="H13" s="5" t="str">
        <f t="shared" si="5"/>
        <v/>
      </c>
      <c r="I13" s="6"/>
      <c r="J13" s="6"/>
      <c r="K13" s="6">
        <f t="shared" si="6"/>
        <v>0</v>
      </c>
      <c r="L13" s="1"/>
      <c r="M13" s="2"/>
    </row>
    <row r="14" spans="1:13" x14ac:dyDescent="0.25">
      <c r="A14" s="4" t="s">
        <v>287</v>
      </c>
      <c r="B14" s="5" t="str">
        <f t="shared" si="7"/>
        <v/>
      </c>
      <c r="C14" s="6"/>
      <c r="D14" s="6"/>
      <c r="E14" s="5" t="str">
        <f t="shared" si="4"/>
        <v/>
      </c>
      <c r="F14" s="6"/>
      <c r="G14" s="6"/>
      <c r="H14" s="5" t="str">
        <f t="shared" si="5"/>
        <v/>
      </c>
      <c r="I14" s="6"/>
      <c r="J14" s="6"/>
      <c r="K14" s="6">
        <f t="shared" si="6"/>
        <v>0</v>
      </c>
      <c r="L14" s="1"/>
      <c r="M14" s="2"/>
    </row>
    <row r="15" spans="1:13" x14ac:dyDescent="0.25">
      <c r="A15" s="4" t="s">
        <v>288</v>
      </c>
      <c r="B15" s="5" t="str">
        <f t="shared" si="7"/>
        <v/>
      </c>
      <c r="C15" s="6"/>
      <c r="D15" s="6"/>
      <c r="E15" s="5" t="str">
        <f t="shared" si="4"/>
        <v/>
      </c>
      <c r="F15" s="6"/>
      <c r="G15" s="6"/>
      <c r="H15" s="5" t="str">
        <f t="shared" si="5"/>
        <v/>
      </c>
      <c r="I15" s="6"/>
      <c r="J15" s="6"/>
      <c r="K15" s="6">
        <f t="shared" si="6"/>
        <v>0</v>
      </c>
      <c r="L15" s="1"/>
      <c r="M15" s="2"/>
    </row>
    <row r="16" spans="1:13" x14ac:dyDescent="0.25">
      <c r="A16" s="9" t="s">
        <v>3</v>
      </c>
      <c r="B16" s="5" t="str">
        <f t="shared" si="7"/>
        <v/>
      </c>
      <c r="C16" s="11"/>
      <c r="D16" s="11"/>
      <c r="E16" s="10"/>
      <c r="F16" s="11"/>
      <c r="G16" s="11"/>
      <c r="H16" s="12"/>
      <c r="I16" s="11"/>
      <c r="J16" s="11"/>
      <c r="K16" s="13">
        <f>SUM(K11:K15)</f>
        <v>0</v>
      </c>
      <c r="L16" s="11"/>
      <c r="M16" s="14"/>
    </row>
    <row r="17" spans="1:13" x14ac:dyDescent="0.25">
      <c r="A17" s="3" t="s">
        <v>277</v>
      </c>
      <c r="B17" s="17"/>
      <c r="C17" s="8"/>
      <c r="D17" s="8"/>
      <c r="E17" s="7"/>
      <c r="F17" s="8"/>
      <c r="G17" s="8"/>
      <c r="H17" s="8"/>
      <c r="I17" s="8"/>
      <c r="J17" s="8"/>
      <c r="K17" s="7"/>
      <c r="L17" s="1"/>
      <c r="M17" s="2"/>
    </row>
    <row r="18" spans="1:13" x14ac:dyDescent="0.25">
      <c r="A18" s="4" t="s">
        <v>289</v>
      </c>
      <c r="B18" s="5" t="str">
        <f t="shared" ref="B18:B34" si="8">IF(OR(C18="",D18=""),"",IF(C18&lt;=D18,SUM(+D18,-C18,),"24:00"-C18+D18))</f>
        <v/>
      </c>
      <c r="C18" s="6"/>
      <c r="D18" s="6"/>
      <c r="E18" s="5" t="str">
        <f t="shared" ref="E18:E22" si="9">IF(OR(F18="",G18=""),"",IF(F18&lt;=G18,SUM(+G18,-F18,),"24:00"-F18+G18))</f>
        <v/>
      </c>
      <c r="F18" s="6"/>
      <c r="G18" s="6"/>
      <c r="H18" s="5" t="str">
        <f t="shared" ref="H18:H22" si="10">IF(OR(I18="",J18=""),"",IF(I18&lt;=J18,SUM(+J18,-I18,),"24:00"-I18+J18))</f>
        <v/>
      </c>
      <c r="I18" s="6"/>
      <c r="J18" s="6"/>
      <c r="K18" s="6">
        <f t="shared" ref="K18:K22" si="11">SUM(B18,E18,H18)</f>
        <v>0</v>
      </c>
      <c r="L18" s="1"/>
      <c r="M18" s="2"/>
    </row>
    <row r="19" spans="1:13" x14ac:dyDescent="0.25">
      <c r="A19" s="4" t="s">
        <v>290</v>
      </c>
      <c r="B19" s="5" t="str">
        <f t="shared" si="8"/>
        <v/>
      </c>
      <c r="C19" s="6"/>
      <c r="D19" s="6"/>
      <c r="E19" s="5" t="str">
        <f t="shared" si="9"/>
        <v/>
      </c>
      <c r="F19" s="6"/>
      <c r="G19" s="6"/>
      <c r="H19" s="5" t="str">
        <f t="shared" si="10"/>
        <v/>
      </c>
      <c r="I19" s="6"/>
      <c r="J19" s="6"/>
      <c r="K19" s="6">
        <f t="shared" si="11"/>
        <v>0</v>
      </c>
      <c r="L19" s="1"/>
      <c r="M19" s="2"/>
    </row>
    <row r="20" spans="1:13" x14ac:dyDescent="0.25">
      <c r="A20" s="4" t="s">
        <v>291</v>
      </c>
      <c r="B20" s="5" t="str">
        <f t="shared" si="8"/>
        <v/>
      </c>
      <c r="C20" s="6"/>
      <c r="D20" s="6"/>
      <c r="E20" s="5" t="str">
        <f t="shared" si="9"/>
        <v/>
      </c>
      <c r="F20" s="6"/>
      <c r="G20" s="6"/>
      <c r="H20" s="5" t="str">
        <f t="shared" si="10"/>
        <v/>
      </c>
      <c r="I20" s="6"/>
      <c r="J20" s="6"/>
      <c r="K20" s="6">
        <f t="shared" si="11"/>
        <v>0</v>
      </c>
      <c r="L20" s="1"/>
      <c r="M20" s="2"/>
    </row>
    <row r="21" spans="1:13" x14ac:dyDescent="0.25">
      <c r="A21" s="4" t="s">
        <v>292</v>
      </c>
      <c r="B21" s="5" t="str">
        <f t="shared" si="8"/>
        <v/>
      </c>
      <c r="C21" s="6"/>
      <c r="D21" s="6"/>
      <c r="E21" s="5" t="str">
        <f t="shared" si="9"/>
        <v/>
      </c>
      <c r="F21" s="6"/>
      <c r="G21" s="6"/>
      <c r="H21" s="5" t="str">
        <f t="shared" si="10"/>
        <v/>
      </c>
      <c r="I21" s="6"/>
      <c r="J21" s="6"/>
      <c r="K21" s="6">
        <f t="shared" si="11"/>
        <v>0</v>
      </c>
      <c r="L21" s="1"/>
      <c r="M21" s="2"/>
    </row>
    <row r="22" spans="1:13" x14ac:dyDescent="0.25">
      <c r="A22" s="4" t="s">
        <v>293</v>
      </c>
      <c r="B22" s="5" t="str">
        <f t="shared" si="8"/>
        <v/>
      </c>
      <c r="C22" s="6"/>
      <c r="D22" s="6"/>
      <c r="E22" s="5" t="str">
        <f t="shared" si="9"/>
        <v/>
      </c>
      <c r="F22" s="6"/>
      <c r="G22" s="6"/>
      <c r="H22" s="5" t="str">
        <f t="shared" si="10"/>
        <v/>
      </c>
      <c r="I22" s="6"/>
      <c r="J22" s="6"/>
      <c r="K22" s="6">
        <f t="shared" si="11"/>
        <v>0</v>
      </c>
      <c r="L22" s="1"/>
      <c r="M22" s="2"/>
    </row>
    <row r="23" spans="1:13" x14ac:dyDescent="0.25">
      <c r="A23" s="9" t="s">
        <v>3</v>
      </c>
      <c r="B23" s="5" t="str">
        <f t="shared" si="8"/>
        <v/>
      </c>
      <c r="C23" s="11"/>
      <c r="D23" s="11"/>
      <c r="E23" s="10"/>
      <c r="F23" s="11"/>
      <c r="G23" s="11"/>
      <c r="H23" s="12"/>
      <c r="I23" s="11"/>
      <c r="J23" s="11"/>
      <c r="K23" s="13">
        <f>SUM(K18:K22)</f>
        <v>0</v>
      </c>
      <c r="L23" s="11"/>
      <c r="M23" s="14"/>
    </row>
    <row r="24" spans="1:13" x14ac:dyDescent="0.25">
      <c r="A24" s="3" t="s">
        <v>278</v>
      </c>
      <c r="B24" s="17"/>
      <c r="C24" s="8"/>
      <c r="D24" s="8"/>
      <c r="E24" s="7"/>
      <c r="F24" s="8"/>
      <c r="G24" s="8"/>
      <c r="H24" s="8"/>
      <c r="I24" s="8"/>
      <c r="J24" s="8"/>
      <c r="K24" s="7"/>
      <c r="L24" s="1"/>
      <c r="M24" s="2"/>
    </row>
    <row r="25" spans="1:13" x14ac:dyDescent="0.25">
      <c r="A25" s="4" t="s">
        <v>295</v>
      </c>
      <c r="B25" s="5" t="str">
        <f t="shared" ref="B25" si="12">IF(OR(C25="",D25=""),"",IF(C25&lt;=D25,SUM(+D25,-C25,),"24:00"-C25+D25))</f>
        <v/>
      </c>
      <c r="C25" s="6"/>
      <c r="D25" s="6"/>
      <c r="E25" s="5" t="str">
        <f t="shared" ref="E25:E29" si="13">IF(OR(F25="",G25=""),"",IF(F25&lt;=G25,SUM(+G25,-F25,),"24:00"-F25+G25))</f>
        <v/>
      </c>
      <c r="F25" s="6"/>
      <c r="G25" s="6"/>
      <c r="H25" s="5" t="str">
        <f t="shared" ref="H25:H29" si="14">IF(OR(I25="",J25=""),"",IF(I25&lt;=J25,SUM(+J25,-I25,),"24:00"-I25+J25))</f>
        <v/>
      </c>
      <c r="I25" s="6"/>
      <c r="J25" s="6"/>
      <c r="K25" s="6">
        <f t="shared" ref="K25:K29" si="15">SUM(B25,E25,H25)</f>
        <v>0</v>
      </c>
      <c r="L25" s="1"/>
      <c r="M25" s="2"/>
    </row>
    <row r="26" spans="1:13" x14ac:dyDescent="0.25">
      <c r="A26" s="4" t="s">
        <v>296</v>
      </c>
      <c r="B26" s="5" t="str">
        <f t="shared" si="8"/>
        <v/>
      </c>
      <c r="C26" s="6"/>
      <c r="D26" s="6"/>
      <c r="E26" s="5" t="str">
        <f t="shared" si="13"/>
        <v/>
      </c>
      <c r="F26" s="6"/>
      <c r="G26" s="6"/>
      <c r="H26" s="5" t="str">
        <f t="shared" si="14"/>
        <v/>
      </c>
      <c r="I26" s="6"/>
      <c r="J26" s="6"/>
      <c r="K26" s="6">
        <f t="shared" si="15"/>
        <v>0</v>
      </c>
      <c r="L26" s="1"/>
      <c r="M26" s="2"/>
    </row>
    <row r="27" spans="1:13" x14ac:dyDescent="0.25">
      <c r="A27" s="4" t="s">
        <v>297</v>
      </c>
      <c r="B27" s="5" t="str">
        <f t="shared" si="8"/>
        <v/>
      </c>
      <c r="C27" s="6"/>
      <c r="D27" s="6"/>
      <c r="E27" s="5" t="str">
        <f t="shared" si="13"/>
        <v/>
      </c>
      <c r="F27" s="6"/>
      <c r="G27" s="6"/>
      <c r="H27" s="5" t="str">
        <f t="shared" si="14"/>
        <v/>
      </c>
      <c r="I27" s="6"/>
      <c r="J27" s="6"/>
      <c r="K27" s="6">
        <f t="shared" si="15"/>
        <v>0</v>
      </c>
      <c r="L27" s="1"/>
      <c r="M27" s="2"/>
    </row>
    <row r="28" spans="1:13" x14ac:dyDescent="0.25">
      <c r="A28" s="4" t="s">
        <v>298</v>
      </c>
      <c r="B28" s="5" t="str">
        <f t="shared" si="8"/>
        <v/>
      </c>
      <c r="C28" s="6"/>
      <c r="D28" s="6"/>
      <c r="E28" s="5" t="str">
        <f t="shared" si="13"/>
        <v/>
      </c>
      <c r="F28" s="6"/>
      <c r="G28" s="6"/>
      <c r="H28" s="5" t="str">
        <f t="shared" si="14"/>
        <v/>
      </c>
      <c r="I28" s="6"/>
      <c r="J28" s="6"/>
      <c r="K28" s="6">
        <f t="shared" si="15"/>
        <v>0</v>
      </c>
      <c r="L28" s="1"/>
      <c r="M28" s="2"/>
    </row>
    <row r="29" spans="1:13" x14ac:dyDescent="0.25">
      <c r="A29" s="4" t="s">
        <v>299</v>
      </c>
      <c r="B29" s="5" t="str">
        <f t="shared" si="8"/>
        <v/>
      </c>
      <c r="C29" s="6"/>
      <c r="D29" s="6"/>
      <c r="E29" s="5" t="str">
        <f t="shared" si="13"/>
        <v/>
      </c>
      <c r="F29" s="6"/>
      <c r="G29" s="6"/>
      <c r="H29" s="5" t="str">
        <f t="shared" si="14"/>
        <v/>
      </c>
      <c r="I29" s="6"/>
      <c r="J29" s="6"/>
      <c r="K29" s="6">
        <f t="shared" si="15"/>
        <v>0</v>
      </c>
      <c r="L29" s="1"/>
      <c r="M29" s="2"/>
    </row>
    <row r="30" spans="1:13" x14ac:dyDescent="0.25">
      <c r="A30" s="9" t="s">
        <v>3</v>
      </c>
      <c r="B30" s="5" t="str">
        <f t="shared" si="8"/>
        <v/>
      </c>
      <c r="C30" s="11"/>
      <c r="D30" s="11"/>
      <c r="E30" s="10"/>
      <c r="F30" s="11"/>
      <c r="G30" s="11"/>
      <c r="H30" s="12"/>
      <c r="I30" s="11"/>
      <c r="J30" s="11"/>
      <c r="K30" s="13">
        <f>SUM(K25:K29)</f>
        <v>0</v>
      </c>
      <c r="L30" s="11"/>
      <c r="M30" s="14"/>
    </row>
    <row r="31" spans="1:13" x14ac:dyDescent="0.25">
      <c r="A31" s="3" t="s">
        <v>294</v>
      </c>
      <c r="B31" s="17"/>
      <c r="C31" s="8"/>
      <c r="D31" s="8"/>
      <c r="E31" s="7"/>
      <c r="F31" s="8"/>
      <c r="G31" s="8"/>
      <c r="H31" s="8"/>
      <c r="I31" s="8"/>
      <c r="J31" s="8"/>
      <c r="K31" s="7"/>
      <c r="L31" s="1"/>
      <c r="M31" s="2"/>
    </row>
    <row r="32" spans="1:13" x14ac:dyDescent="0.25">
      <c r="A32" s="4" t="s">
        <v>300</v>
      </c>
      <c r="B32" s="5" t="str">
        <f t="shared" ref="B32" si="16">IF(OR(C32="",D32=""),"",IF(C32&lt;=D32,SUM(+D32,-C32,),"24:00"-C32+D32))</f>
        <v/>
      </c>
      <c r="C32" s="6"/>
      <c r="D32" s="6"/>
      <c r="E32" s="5" t="str">
        <f t="shared" ref="E32:E33" si="17">IF(OR(F32="",G32=""),"",IF(F32&lt;=G32,SUM(+G32,-F32,),"24:00"-F32+G32))</f>
        <v/>
      </c>
      <c r="F32" s="6"/>
      <c r="G32" s="6"/>
      <c r="H32" s="5" t="str">
        <f t="shared" ref="H32:H33" si="18">IF(OR(I32="",J32=""),"",IF(I32&lt;=J32,SUM(+J32,-I32,),"24:00"-I32+J32))</f>
        <v/>
      </c>
      <c r="I32" s="6"/>
      <c r="J32" s="6"/>
      <c r="K32" s="6">
        <f t="shared" ref="K32:K33" si="19">SUM(B32,E32,H32)</f>
        <v>0</v>
      </c>
      <c r="L32" s="1"/>
      <c r="M32" s="2"/>
    </row>
    <row r="33" spans="1:13" x14ac:dyDescent="0.25">
      <c r="A33" s="4" t="s">
        <v>301</v>
      </c>
      <c r="B33" s="5" t="str">
        <f t="shared" si="8"/>
        <v/>
      </c>
      <c r="C33" s="6"/>
      <c r="D33" s="6"/>
      <c r="E33" s="5" t="str">
        <f t="shared" si="17"/>
        <v/>
      </c>
      <c r="F33" s="6"/>
      <c r="G33" s="6"/>
      <c r="H33" s="5" t="str">
        <f t="shared" si="18"/>
        <v/>
      </c>
      <c r="I33" s="6"/>
      <c r="J33" s="6"/>
      <c r="K33" s="6">
        <f t="shared" si="19"/>
        <v>0</v>
      </c>
      <c r="L33" s="1"/>
      <c r="M33" s="2"/>
    </row>
    <row r="34" spans="1:13" x14ac:dyDescent="0.25">
      <c r="A34" s="9" t="s">
        <v>3</v>
      </c>
      <c r="B34" s="5" t="str">
        <f t="shared" si="8"/>
        <v/>
      </c>
      <c r="C34" s="11"/>
      <c r="D34" s="11"/>
      <c r="E34" s="10"/>
      <c r="F34" s="11"/>
      <c r="G34" s="11"/>
      <c r="H34" s="12"/>
      <c r="I34" s="11"/>
      <c r="J34" s="11"/>
      <c r="K34" s="13">
        <f>SUM(K32:K33)</f>
        <v>0</v>
      </c>
      <c r="L34" s="11"/>
      <c r="M34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Tabelle2!$A$1:$A$4</xm:f>
          </x14:formula1>
          <xm:sqref>L10 L17 L24 L31</xm:sqref>
        </x14:dataValidation>
        <x14:dataValidation type="list" allowBlank="1" showInputMessage="1" showErrorMessage="1" promptTitle="Grund bitte auswählen" prompt="Grund bitte auswählen" xr:uid="{00000000-0002-0000-0900-000001000000}">
          <x14:formula1>
            <xm:f>Tabelle2!$A$1:$A$4</xm:f>
          </x14:formula1>
          <xm:sqref>L4:L8 L11:L15 L18:L22 L25:L29 L32:L33</xm:sqref>
        </x14:dataValidation>
        <x14:dataValidation type="list" allowBlank="1" showInputMessage="1" showErrorMessage="1" promptTitle="bewilligte Tage" prompt="Bewilligte/n Wochentag/e bitte auswählen" xr:uid="{00000000-0002-0000-0900-000002000000}">
          <x14:formula1>
            <xm:f>Tabelle2!$A$6:$A$28</xm:f>
          </x14:formula1>
          <xm:sqref>G2:K2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4"/>
  <sheetViews>
    <sheetView workbookViewId="0">
      <selection activeCell="M5" sqref="M5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294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306</v>
      </c>
      <c r="B4" s="5" t="str">
        <f>IF(OR(C4="",D4=""),"",IF(C4&lt;=D4,SUM(+D4,-C4,),"24:00"-C4+D4))</f>
        <v/>
      </c>
      <c r="C4" s="6"/>
      <c r="D4" s="6"/>
      <c r="E4" s="5" t="str">
        <f t="shared" ref="E4:E6" si="0">IF(OR(F4="",G4=""),"",IF(F4&lt;=G4,SUM(+G4,-F4,),"24:00"-F4+G4))</f>
        <v/>
      </c>
      <c r="F4" s="6"/>
      <c r="G4" s="6"/>
      <c r="H4" s="5" t="str">
        <f t="shared" ref="H4:H6" si="1">IF(OR(I4="",J4=""),"",IF(I4&lt;=J4,SUM(+J4,-I4,),"24:00"-I4+J4))</f>
        <v/>
      </c>
      <c r="I4" s="6"/>
      <c r="J4" s="6"/>
      <c r="K4" s="6">
        <f t="shared" ref="K4:K6" si="2">SUM(B4,E4,H4)</f>
        <v>0</v>
      </c>
      <c r="L4" s="1"/>
      <c r="M4" s="2" t="s">
        <v>37</v>
      </c>
    </row>
    <row r="5" spans="1:13" x14ac:dyDescent="0.25">
      <c r="A5" s="4" t="s">
        <v>307</v>
      </c>
      <c r="B5" s="5" t="str">
        <f t="shared" ref="B5:B6" si="3">IF(OR(C5="",D5=""),"",IF(C5&lt;=D5,SUM(+D5,-C5,),"24:00"-C5+D5))</f>
        <v/>
      </c>
      <c r="C5" s="6"/>
      <c r="D5" s="6"/>
      <c r="E5" s="5" t="str">
        <f t="shared" si="0"/>
        <v/>
      </c>
      <c r="F5" s="6"/>
      <c r="G5" s="6"/>
      <c r="H5" s="5" t="str">
        <f t="shared" si="1"/>
        <v/>
      </c>
      <c r="I5" s="6"/>
      <c r="J5" s="6"/>
      <c r="K5" s="6">
        <f t="shared" si="2"/>
        <v>0</v>
      </c>
      <c r="L5" s="1"/>
      <c r="M5" s="2"/>
    </row>
    <row r="6" spans="1:13" x14ac:dyDescent="0.25">
      <c r="A6" s="4" t="s">
        <v>308</v>
      </c>
      <c r="B6" s="5" t="str">
        <f t="shared" si="3"/>
        <v/>
      </c>
      <c r="C6" s="6"/>
      <c r="D6" s="6"/>
      <c r="E6" s="5" t="str">
        <f t="shared" si="0"/>
        <v/>
      </c>
      <c r="F6" s="6"/>
      <c r="G6" s="6"/>
      <c r="H6" s="5" t="str">
        <f t="shared" si="1"/>
        <v/>
      </c>
      <c r="I6" s="6"/>
      <c r="J6" s="6"/>
      <c r="K6" s="6">
        <f t="shared" si="2"/>
        <v>0</v>
      </c>
      <c r="L6" s="1"/>
      <c r="M6" s="2"/>
    </row>
    <row r="7" spans="1:13" x14ac:dyDescent="0.25">
      <c r="A7" s="9" t="s">
        <v>3</v>
      </c>
      <c r="B7" s="10" t="str">
        <f>IF(OR(C7="",D7=""),"",IF(C7&lt;=#REF!,SUM(+D7,-C7,),"24:00"-C7+D7))</f>
        <v/>
      </c>
      <c r="C7" s="11"/>
      <c r="D7" s="11"/>
      <c r="E7" s="10"/>
      <c r="F7" s="11"/>
      <c r="G7" s="11"/>
      <c r="H7" s="12"/>
      <c r="I7" s="11"/>
      <c r="J7" s="11"/>
      <c r="K7" s="13">
        <f>SUM(K4:K6)</f>
        <v>0</v>
      </c>
      <c r="L7" s="11"/>
      <c r="M7" s="14"/>
    </row>
    <row r="8" spans="1:13" x14ac:dyDescent="0.25">
      <c r="A8" s="3" t="s">
        <v>302</v>
      </c>
      <c r="B8" s="7"/>
      <c r="C8" s="8"/>
      <c r="D8" s="8"/>
      <c r="E8" s="7"/>
      <c r="F8" s="8"/>
      <c r="G8" s="8"/>
      <c r="H8" s="8"/>
      <c r="I8" s="8"/>
      <c r="J8" s="8"/>
      <c r="K8" s="7"/>
      <c r="L8" s="1"/>
      <c r="M8" s="2"/>
    </row>
    <row r="9" spans="1:13" x14ac:dyDescent="0.25">
      <c r="A9" s="4" t="s">
        <v>309</v>
      </c>
      <c r="B9" s="5" t="str">
        <f>IF(OR(C9="",D9=""),"",IF(C9&lt;=D9,SUM(+D9,-C9,),"24:00"-C9+D9))</f>
        <v/>
      </c>
      <c r="C9" s="6"/>
      <c r="D9" s="6"/>
      <c r="E9" s="5" t="str">
        <f t="shared" ref="E9:E13" si="4">IF(OR(F9="",G9=""),"",IF(F9&lt;=G9,SUM(+G9,-F9,),"24:00"-F9+G9))</f>
        <v/>
      </c>
      <c r="F9" s="6"/>
      <c r="G9" s="6"/>
      <c r="H9" s="5" t="str">
        <f t="shared" ref="H9:H13" si="5">IF(OR(I9="",J9=""),"",IF(I9&lt;=J9,SUM(+J9,-I9,),"24:00"-I9+J9))</f>
        <v/>
      </c>
      <c r="I9" s="6"/>
      <c r="J9" s="6"/>
      <c r="K9" s="6">
        <f t="shared" ref="K9:K13" si="6">SUM(B9,E9,H9)</f>
        <v>0</v>
      </c>
      <c r="L9" s="1"/>
      <c r="M9" s="2"/>
    </row>
    <row r="10" spans="1:13" x14ac:dyDescent="0.25">
      <c r="A10" s="4" t="s">
        <v>310</v>
      </c>
      <c r="B10" s="5" t="str">
        <f t="shared" ref="B10:B14" si="7">IF(OR(C10="",D10=""),"",IF(C10&lt;=D10,SUM(+D10,-C10,),"24:00"-C10+D10))</f>
        <v/>
      </c>
      <c r="C10" s="6"/>
      <c r="D10" s="6"/>
      <c r="E10" s="5" t="str">
        <f t="shared" si="4"/>
        <v/>
      </c>
      <c r="F10" s="6"/>
      <c r="G10" s="6"/>
      <c r="H10" s="5" t="str">
        <f t="shared" si="5"/>
        <v/>
      </c>
      <c r="I10" s="6"/>
      <c r="J10" s="6"/>
      <c r="K10" s="6">
        <f t="shared" si="6"/>
        <v>0</v>
      </c>
      <c r="L10" s="1"/>
      <c r="M10" s="2"/>
    </row>
    <row r="11" spans="1:13" x14ac:dyDescent="0.25">
      <c r="A11" s="4" t="s">
        <v>311</v>
      </c>
      <c r="B11" s="5" t="str">
        <f t="shared" si="7"/>
        <v/>
      </c>
      <c r="C11" s="6"/>
      <c r="D11" s="6"/>
      <c r="E11" s="5" t="str">
        <f t="shared" si="4"/>
        <v/>
      </c>
      <c r="F11" s="6"/>
      <c r="G11" s="6"/>
      <c r="H11" s="5" t="str">
        <f t="shared" si="5"/>
        <v/>
      </c>
      <c r="I11" s="6"/>
      <c r="J11" s="6"/>
      <c r="K11" s="6">
        <f t="shared" si="6"/>
        <v>0</v>
      </c>
      <c r="L11" s="1"/>
      <c r="M11" s="2"/>
    </row>
    <row r="12" spans="1:13" x14ac:dyDescent="0.25">
      <c r="A12" s="4" t="s">
        <v>312</v>
      </c>
      <c r="B12" s="5" t="str">
        <f t="shared" si="7"/>
        <v/>
      </c>
      <c r="C12" s="6"/>
      <c r="D12" s="6"/>
      <c r="E12" s="5" t="str">
        <f t="shared" si="4"/>
        <v/>
      </c>
      <c r="F12" s="6"/>
      <c r="G12" s="6"/>
      <c r="H12" s="5" t="str">
        <f t="shared" si="5"/>
        <v/>
      </c>
      <c r="I12" s="6"/>
      <c r="J12" s="6"/>
      <c r="K12" s="6">
        <f t="shared" si="6"/>
        <v>0</v>
      </c>
      <c r="L12" s="1"/>
      <c r="M12" s="2"/>
    </row>
    <row r="13" spans="1:13" x14ac:dyDescent="0.25">
      <c r="A13" s="4" t="s">
        <v>313</v>
      </c>
      <c r="B13" s="5" t="str">
        <f t="shared" si="7"/>
        <v/>
      </c>
      <c r="C13" s="6"/>
      <c r="D13" s="6"/>
      <c r="E13" s="5" t="str">
        <f t="shared" si="4"/>
        <v/>
      </c>
      <c r="F13" s="6"/>
      <c r="G13" s="6"/>
      <c r="H13" s="5" t="str">
        <f t="shared" si="5"/>
        <v/>
      </c>
      <c r="I13" s="6"/>
      <c r="J13" s="6"/>
      <c r="K13" s="6">
        <f t="shared" si="6"/>
        <v>0</v>
      </c>
      <c r="L13" s="1"/>
      <c r="M13" s="2"/>
    </row>
    <row r="14" spans="1:13" x14ac:dyDescent="0.25">
      <c r="A14" s="9" t="s">
        <v>3</v>
      </c>
      <c r="B14" s="5" t="str">
        <f t="shared" si="7"/>
        <v/>
      </c>
      <c r="C14" s="11"/>
      <c r="D14" s="11"/>
      <c r="E14" s="10"/>
      <c r="F14" s="11"/>
      <c r="G14" s="11"/>
      <c r="H14" s="12"/>
      <c r="I14" s="11"/>
      <c r="J14" s="11"/>
      <c r="K14" s="13">
        <f>SUM(K9:K13)</f>
        <v>0</v>
      </c>
      <c r="L14" s="11"/>
      <c r="M14" s="14"/>
    </row>
    <row r="15" spans="1:13" x14ac:dyDescent="0.25">
      <c r="A15" s="3" t="s">
        <v>303</v>
      </c>
      <c r="B15" s="7"/>
      <c r="C15" s="8"/>
      <c r="D15" s="8"/>
      <c r="E15" s="7"/>
      <c r="F15" s="8"/>
      <c r="G15" s="8"/>
      <c r="H15" s="8"/>
      <c r="I15" s="8"/>
      <c r="J15" s="8"/>
      <c r="K15" s="7"/>
      <c r="L15" s="1"/>
      <c r="M15" s="2"/>
    </row>
    <row r="16" spans="1:13" x14ac:dyDescent="0.25">
      <c r="A16" s="4" t="s">
        <v>314</v>
      </c>
      <c r="B16" s="5" t="str">
        <f t="shared" ref="B16:B34" si="8">IF(OR(C16="",D16=""),"",IF(C16&lt;=D16,SUM(+D16,-C16,),"24:00"-C16+D16))</f>
        <v/>
      </c>
      <c r="C16" s="6"/>
      <c r="D16" s="6"/>
      <c r="E16" s="5" t="str">
        <f t="shared" ref="E16:E20" si="9">IF(OR(F16="",G16=""),"",IF(F16&lt;=G16,SUM(+G16,-F16,),"24:00"-F16+G16))</f>
        <v/>
      </c>
      <c r="F16" s="6"/>
      <c r="G16" s="6"/>
      <c r="H16" s="5" t="str">
        <f t="shared" ref="H16:H20" si="10">IF(OR(I16="",J16=""),"",IF(I16&lt;=J16,SUM(+J16,-I16,),"24:00"-I16+J16))</f>
        <v/>
      </c>
      <c r="I16" s="6"/>
      <c r="J16" s="6"/>
      <c r="K16" s="6">
        <f t="shared" ref="K16:K20" si="11">SUM(B16,E16,H16)</f>
        <v>0</v>
      </c>
      <c r="L16" s="1"/>
      <c r="M16" s="2"/>
    </row>
    <row r="17" spans="1:13" x14ac:dyDescent="0.25">
      <c r="A17" s="4" t="s">
        <v>315</v>
      </c>
      <c r="B17" s="5" t="str">
        <f t="shared" si="8"/>
        <v/>
      </c>
      <c r="C17" s="6"/>
      <c r="D17" s="6"/>
      <c r="E17" s="5" t="str">
        <f t="shared" si="9"/>
        <v/>
      </c>
      <c r="F17" s="6"/>
      <c r="G17" s="6"/>
      <c r="H17" s="5" t="str">
        <f t="shared" si="10"/>
        <v/>
      </c>
      <c r="I17" s="6"/>
      <c r="J17" s="6"/>
      <c r="K17" s="6">
        <f t="shared" si="11"/>
        <v>0</v>
      </c>
      <c r="L17" s="1"/>
      <c r="M17" s="2"/>
    </row>
    <row r="18" spans="1:13" x14ac:dyDescent="0.25">
      <c r="A18" s="4" t="s">
        <v>316</v>
      </c>
      <c r="B18" s="5" t="str">
        <f t="shared" si="8"/>
        <v/>
      </c>
      <c r="C18" s="6"/>
      <c r="D18" s="6"/>
      <c r="E18" s="5" t="str">
        <f t="shared" si="9"/>
        <v/>
      </c>
      <c r="F18" s="6"/>
      <c r="G18" s="6"/>
      <c r="H18" s="5" t="str">
        <f t="shared" si="10"/>
        <v/>
      </c>
      <c r="I18" s="6"/>
      <c r="J18" s="6"/>
      <c r="K18" s="6">
        <f t="shared" si="11"/>
        <v>0</v>
      </c>
      <c r="L18" s="1"/>
      <c r="M18" s="2"/>
    </row>
    <row r="19" spans="1:13" x14ac:dyDescent="0.25">
      <c r="A19" s="4" t="s">
        <v>317</v>
      </c>
      <c r="B19" s="5" t="str">
        <f t="shared" si="8"/>
        <v/>
      </c>
      <c r="C19" s="6"/>
      <c r="D19" s="6"/>
      <c r="E19" s="5" t="str">
        <f t="shared" si="9"/>
        <v/>
      </c>
      <c r="F19" s="6"/>
      <c r="G19" s="6"/>
      <c r="H19" s="5" t="str">
        <f t="shared" si="10"/>
        <v/>
      </c>
      <c r="I19" s="6"/>
      <c r="J19" s="6"/>
      <c r="K19" s="6">
        <f t="shared" si="11"/>
        <v>0</v>
      </c>
      <c r="L19" s="1"/>
      <c r="M19" s="2"/>
    </row>
    <row r="20" spans="1:13" x14ac:dyDescent="0.25">
      <c r="A20" s="4" t="s">
        <v>318</v>
      </c>
      <c r="B20" s="5" t="str">
        <f t="shared" si="8"/>
        <v/>
      </c>
      <c r="C20" s="6"/>
      <c r="D20" s="6"/>
      <c r="E20" s="5" t="str">
        <f t="shared" si="9"/>
        <v/>
      </c>
      <c r="F20" s="6"/>
      <c r="G20" s="6"/>
      <c r="H20" s="5" t="str">
        <f t="shared" si="10"/>
        <v/>
      </c>
      <c r="I20" s="6"/>
      <c r="J20" s="6"/>
      <c r="K20" s="6">
        <f t="shared" si="11"/>
        <v>0</v>
      </c>
      <c r="L20" s="1"/>
      <c r="M20" s="2"/>
    </row>
    <row r="21" spans="1:13" x14ac:dyDescent="0.25">
      <c r="A21" s="9" t="s">
        <v>3</v>
      </c>
      <c r="B21" s="5" t="str">
        <f t="shared" si="8"/>
        <v/>
      </c>
      <c r="C21" s="11"/>
      <c r="D21" s="11"/>
      <c r="E21" s="10"/>
      <c r="F21" s="11"/>
      <c r="G21" s="11"/>
      <c r="H21" s="12"/>
      <c r="I21" s="11"/>
      <c r="J21" s="11"/>
      <c r="K21" s="13">
        <f>SUM(K16:K20)</f>
        <v>0</v>
      </c>
      <c r="L21" s="11"/>
      <c r="M21" s="14"/>
    </row>
    <row r="22" spans="1:13" x14ac:dyDescent="0.25">
      <c r="A22" s="3" t="s">
        <v>304</v>
      </c>
      <c r="B22" s="7"/>
      <c r="C22" s="8"/>
      <c r="D22" s="8"/>
      <c r="E22" s="7"/>
      <c r="F22" s="8"/>
      <c r="G22" s="8"/>
      <c r="H22" s="8"/>
      <c r="I22" s="8"/>
      <c r="J22" s="8"/>
      <c r="K22" s="7"/>
      <c r="L22" s="1"/>
      <c r="M22" s="2"/>
    </row>
    <row r="23" spans="1:13" x14ac:dyDescent="0.25">
      <c r="A23" s="4" t="s">
        <v>319</v>
      </c>
      <c r="B23" s="5" t="str">
        <f t="shared" ref="B23" si="12">IF(OR(C23="",D23=""),"",IF(C23&lt;=D23,SUM(+D23,-C23,),"24:00"-C23+D23))</f>
        <v/>
      </c>
      <c r="C23" s="6"/>
      <c r="D23" s="6"/>
      <c r="E23" s="5" t="str">
        <f t="shared" ref="E23:E27" si="13">IF(OR(F23="",G23=""),"",IF(F23&lt;=G23,SUM(+G23,-F23,),"24:00"-F23+G23))</f>
        <v/>
      </c>
      <c r="F23" s="6"/>
      <c r="G23" s="6"/>
      <c r="H23" s="5" t="str">
        <f t="shared" ref="H23:H27" si="14">IF(OR(I23="",J23=""),"",IF(I23&lt;=J23,SUM(+J23,-I23,),"24:00"-I23+J23))</f>
        <v/>
      </c>
      <c r="I23" s="6"/>
      <c r="J23" s="6"/>
      <c r="K23" s="6">
        <f t="shared" ref="K23:K27" si="15">SUM(B23,E23,H23)</f>
        <v>0</v>
      </c>
      <c r="L23" s="1"/>
      <c r="M23" s="2"/>
    </row>
    <row r="24" spans="1:13" x14ac:dyDescent="0.25">
      <c r="A24" s="4" t="s">
        <v>320</v>
      </c>
      <c r="B24" s="5" t="str">
        <f t="shared" si="8"/>
        <v/>
      </c>
      <c r="C24" s="6"/>
      <c r="D24" s="6"/>
      <c r="E24" s="5" t="str">
        <f t="shared" si="13"/>
        <v/>
      </c>
      <c r="F24" s="6"/>
      <c r="G24" s="6"/>
      <c r="H24" s="5" t="str">
        <f t="shared" si="14"/>
        <v/>
      </c>
      <c r="I24" s="6"/>
      <c r="J24" s="6"/>
      <c r="K24" s="6">
        <f t="shared" si="15"/>
        <v>0</v>
      </c>
      <c r="L24" s="1"/>
      <c r="M24" s="2"/>
    </row>
    <row r="25" spans="1:13" x14ac:dyDescent="0.25">
      <c r="A25" s="4" t="s">
        <v>325</v>
      </c>
      <c r="B25" s="5" t="str">
        <f t="shared" si="8"/>
        <v/>
      </c>
      <c r="C25" s="6"/>
      <c r="D25" s="6"/>
      <c r="E25" s="5" t="str">
        <f t="shared" si="13"/>
        <v/>
      </c>
      <c r="F25" s="6"/>
      <c r="G25" s="6"/>
      <c r="H25" s="5" t="str">
        <f t="shared" si="14"/>
        <v/>
      </c>
      <c r="I25" s="6"/>
      <c r="J25" s="6"/>
      <c r="K25" s="6">
        <f t="shared" si="15"/>
        <v>0</v>
      </c>
      <c r="L25" s="1"/>
      <c r="M25" s="2"/>
    </row>
    <row r="26" spans="1:13" x14ac:dyDescent="0.25">
      <c r="A26" s="4" t="s">
        <v>326</v>
      </c>
      <c r="B26" s="5" t="str">
        <f t="shared" si="8"/>
        <v/>
      </c>
      <c r="C26" s="6"/>
      <c r="D26" s="6"/>
      <c r="E26" s="5" t="str">
        <f t="shared" si="13"/>
        <v/>
      </c>
      <c r="F26" s="6"/>
      <c r="G26" s="6"/>
      <c r="H26" s="5" t="str">
        <f t="shared" si="14"/>
        <v/>
      </c>
      <c r="I26" s="6"/>
      <c r="J26" s="6"/>
      <c r="K26" s="6">
        <f t="shared" si="15"/>
        <v>0</v>
      </c>
      <c r="L26" s="1"/>
      <c r="M26" s="2"/>
    </row>
    <row r="27" spans="1:13" x14ac:dyDescent="0.25">
      <c r="A27" s="4" t="s">
        <v>327</v>
      </c>
      <c r="B27" s="5" t="str">
        <f t="shared" si="8"/>
        <v/>
      </c>
      <c r="C27" s="6"/>
      <c r="D27" s="6"/>
      <c r="E27" s="5" t="str">
        <f t="shared" si="13"/>
        <v/>
      </c>
      <c r="F27" s="6"/>
      <c r="G27" s="6"/>
      <c r="H27" s="5" t="str">
        <f t="shared" si="14"/>
        <v/>
      </c>
      <c r="I27" s="6"/>
      <c r="J27" s="6"/>
      <c r="K27" s="6">
        <f t="shared" si="15"/>
        <v>0</v>
      </c>
      <c r="L27" s="1"/>
      <c r="M27" s="2"/>
    </row>
    <row r="28" spans="1:13" x14ac:dyDescent="0.25">
      <c r="A28" s="9" t="s">
        <v>3</v>
      </c>
      <c r="B28" s="5" t="str">
        <f t="shared" si="8"/>
        <v/>
      </c>
      <c r="C28" s="11"/>
      <c r="D28" s="11"/>
      <c r="E28" s="10"/>
      <c r="F28" s="11"/>
      <c r="G28" s="11"/>
      <c r="H28" s="12"/>
      <c r="I28" s="11"/>
      <c r="J28" s="11"/>
      <c r="K28" s="13">
        <f>SUM(K23:K27)</f>
        <v>0</v>
      </c>
      <c r="L28" s="11"/>
      <c r="M28" s="14"/>
    </row>
    <row r="29" spans="1:13" x14ac:dyDescent="0.25">
      <c r="A29" s="3" t="s">
        <v>305</v>
      </c>
      <c r="B29" s="7"/>
      <c r="C29" s="8"/>
      <c r="D29" s="8"/>
      <c r="E29" s="7"/>
      <c r="F29" s="8"/>
      <c r="G29" s="8"/>
      <c r="H29" s="8"/>
      <c r="I29" s="8"/>
      <c r="J29" s="8"/>
      <c r="K29" s="7"/>
      <c r="L29" s="1"/>
      <c r="M29" s="2"/>
    </row>
    <row r="30" spans="1:13" x14ac:dyDescent="0.25">
      <c r="A30" s="4" t="s">
        <v>328</v>
      </c>
      <c r="B30" s="5" t="str">
        <f t="shared" ref="B30" si="16">IF(OR(C30="",D30=""),"",IF(C30&lt;=D30,SUM(+D30,-C30,),"24:00"-C30+D30))</f>
        <v/>
      </c>
      <c r="C30" s="6"/>
      <c r="D30" s="6"/>
      <c r="E30" s="5" t="str">
        <f t="shared" ref="E30:E33" si="17">IF(OR(F30="",G30=""),"",IF(F30&lt;=G30,SUM(+G30,-F30,),"24:00"-F30+G30))</f>
        <v/>
      </c>
      <c r="F30" s="6"/>
      <c r="G30" s="6"/>
      <c r="H30" s="5" t="str">
        <f t="shared" ref="H30:H33" si="18">IF(OR(I30="",J30=""),"",IF(I30&lt;=J30,SUM(+J30,-I30,),"24:00"-I30+J30))</f>
        <v/>
      </c>
      <c r="I30" s="6"/>
      <c r="J30" s="6"/>
      <c r="K30" s="6">
        <f t="shared" ref="K30:K33" si="19">SUM(B30,E30,H30)</f>
        <v>0</v>
      </c>
      <c r="L30" s="1"/>
      <c r="M30" s="2"/>
    </row>
    <row r="31" spans="1:13" x14ac:dyDescent="0.25">
      <c r="A31" s="4" t="s">
        <v>329</v>
      </c>
      <c r="B31" s="5" t="str">
        <f t="shared" si="8"/>
        <v/>
      </c>
      <c r="C31" s="6"/>
      <c r="D31" s="6"/>
      <c r="E31" s="5" t="str">
        <f t="shared" si="17"/>
        <v/>
      </c>
      <c r="F31" s="6"/>
      <c r="G31" s="6"/>
      <c r="H31" s="5" t="str">
        <f t="shared" si="18"/>
        <v/>
      </c>
      <c r="I31" s="6"/>
      <c r="J31" s="6"/>
      <c r="K31" s="6">
        <f t="shared" si="19"/>
        <v>0</v>
      </c>
      <c r="L31" s="1"/>
      <c r="M31" s="2"/>
    </row>
    <row r="32" spans="1:13" x14ac:dyDescent="0.25">
      <c r="A32" s="4" t="s">
        <v>330</v>
      </c>
      <c r="B32" s="5" t="str">
        <f t="shared" si="8"/>
        <v/>
      </c>
      <c r="C32" s="6"/>
      <c r="D32" s="6"/>
      <c r="E32" s="5" t="str">
        <f t="shared" si="17"/>
        <v/>
      </c>
      <c r="F32" s="6"/>
      <c r="G32" s="6"/>
      <c r="H32" s="5" t="str">
        <f t="shared" si="18"/>
        <v/>
      </c>
      <c r="I32" s="6"/>
      <c r="J32" s="6"/>
      <c r="K32" s="6">
        <f t="shared" si="19"/>
        <v>0</v>
      </c>
      <c r="L32" s="1"/>
      <c r="M32" s="2"/>
    </row>
    <row r="33" spans="1:13" x14ac:dyDescent="0.25">
      <c r="A33" s="4" t="s">
        <v>331</v>
      </c>
      <c r="B33" s="5" t="str">
        <f t="shared" si="8"/>
        <v/>
      </c>
      <c r="C33" s="6"/>
      <c r="D33" s="6"/>
      <c r="E33" s="5" t="str">
        <f t="shared" si="17"/>
        <v/>
      </c>
      <c r="F33" s="6"/>
      <c r="G33" s="6"/>
      <c r="H33" s="5" t="str">
        <f t="shared" si="18"/>
        <v/>
      </c>
      <c r="I33" s="6"/>
      <c r="J33" s="6"/>
      <c r="K33" s="6">
        <f t="shared" si="19"/>
        <v>0</v>
      </c>
      <c r="L33" s="1"/>
      <c r="M33" s="2"/>
    </row>
    <row r="34" spans="1:13" x14ac:dyDescent="0.25">
      <c r="A34" s="9" t="s">
        <v>3</v>
      </c>
      <c r="B34" s="5" t="str">
        <f t="shared" si="8"/>
        <v/>
      </c>
      <c r="C34" s="11"/>
      <c r="D34" s="11"/>
      <c r="E34" s="10"/>
      <c r="F34" s="11"/>
      <c r="G34" s="11"/>
      <c r="H34" s="12"/>
      <c r="I34" s="11"/>
      <c r="J34" s="11"/>
      <c r="K34" s="13">
        <f>SUM(K30:K33)</f>
        <v>0</v>
      </c>
      <c r="L34" s="11"/>
      <c r="M34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bewilligte Tage" prompt="Bewilligte/n Wochentag/e bitte auswählen" xr:uid="{00000000-0002-0000-0A00-000000000000}">
          <x14:formula1>
            <xm:f>Tabelle2!$A$6:$A$28</xm:f>
          </x14:formula1>
          <xm:sqref>G2:K2</xm:sqref>
        </x14:dataValidation>
        <x14:dataValidation type="list" allowBlank="1" showInputMessage="1" showErrorMessage="1" promptTitle="Grund bitte auswählen" prompt="Grund bitte auswählen" xr:uid="{00000000-0002-0000-0A00-000001000000}">
          <x14:formula1>
            <xm:f>Tabelle2!$A$1:$A$4</xm:f>
          </x14:formula1>
          <xm:sqref>L9:L13 L16:L20 L23:L27 L4:L6 L30:L33</xm:sqref>
        </x14:dataValidation>
        <x14:dataValidation type="list" allowBlank="1" showInputMessage="1" showErrorMessage="1" xr:uid="{00000000-0002-0000-0A00-000002000000}">
          <x14:formula1>
            <xm:f>Tabelle2!$A$1:$A$4</xm:f>
          </x14:formula1>
          <xm:sqref>L8 L15 L22 L29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workbookViewId="0">
      <selection activeCell="P2" sqref="P2"/>
    </sheetView>
  </sheetViews>
  <sheetFormatPr baseColWidth="10" defaultRowHeight="15" x14ac:dyDescent="0.25"/>
  <cols>
    <col min="1" max="1" width="16" customWidth="1"/>
    <col min="12" max="12" width="26.140625" customWidth="1"/>
    <col min="13" max="13" width="23" customWidth="1"/>
  </cols>
  <sheetData>
    <row r="1" spans="1:13" ht="25.5" customHeight="1" x14ac:dyDescent="0.25">
      <c r="A1" s="25" t="s">
        <v>9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36.75" x14ac:dyDescent="0.25">
      <c r="A2" s="26" t="s">
        <v>36</v>
      </c>
      <c r="B2" s="15" t="s">
        <v>10</v>
      </c>
      <c r="C2" s="23"/>
      <c r="D2" s="15" t="s">
        <v>11</v>
      </c>
      <c r="E2" s="23"/>
      <c r="F2" s="24" t="s">
        <v>17</v>
      </c>
      <c r="G2" s="31"/>
      <c r="H2" s="32"/>
      <c r="I2" s="32"/>
      <c r="J2" s="32"/>
      <c r="K2" s="33"/>
      <c r="L2" s="1"/>
      <c r="M2" s="2"/>
    </row>
    <row r="3" spans="1:13" x14ac:dyDescent="0.25">
      <c r="A3" s="16" t="s">
        <v>305</v>
      </c>
      <c r="B3" s="17" t="s">
        <v>2</v>
      </c>
      <c r="C3" s="17" t="s">
        <v>0</v>
      </c>
      <c r="D3" s="17" t="s">
        <v>1</v>
      </c>
      <c r="E3" s="17" t="s">
        <v>2</v>
      </c>
      <c r="F3" s="17" t="s">
        <v>0</v>
      </c>
      <c r="G3" s="17" t="s">
        <v>1</v>
      </c>
      <c r="H3" s="17" t="s">
        <v>2</v>
      </c>
      <c r="I3" s="17" t="s">
        <v>0</v>
      </c>
      <c r="J3" s="17" t="s">
        <v>1</v>
      </c>
      <c r="K3" s="17" t="s">
        <v>3</v>
      </c>
      <c r="L3" s="17" t="s">
        <v>8</v>
      </c>
      <c r="M3" s="18" t="s">
        <v>4</v>
      </c>
    </row>
    <row r="4" spans="1:13" x14ac:dyDescent="0.25">
      <c r="A4" s="4" t="s">
        <v>332</v>
      </c>
      <c r="B4" s="5" t="str">
        <f>IF(OR(C4="",D4=""),"",IF(C4&lt;=D4,SUM(+D4,-C4,),"24:00"-C4+D4))</f>
        <v/>
      </c>
      <c r="C4" s="6"/>
      <c r="D4" s="6"/>
      <c r="E4" s="5" t="str">
        <f t="shared" ref="E4" si="0">IF(OR(F4="",G4=""),"",IF(F4&lt;=G4,SUM(+G4,-F4,),"24:00"-F4+G4))</f>
        <v/>
      </c>
      <c r="F4" s="6"/>
      <c r="G4" s="6"/>
      <c r="H4" s="5" t="str">
        <f t="shared" ref="H4" si="1">IF(OR(I4="",J4=""),"",IF(I4&lt;=J4,SUM(+J4,-I4,),"24:00"-I4+J4))</f>
        <v/>
      </c>
      <c r="I4" s="6"/>
      <c r="J4" s="6"/>
      <c r="K4" s="6">
        <f t="shared" ref="K4" si="2">SUM(B4,E4,H4)</f>
        <v>0</v>
      </c>
      <c r="L4" s="1"/>
      <c r="M4" s="2"/>
    </row>
    <row r="5" spans="1:13" x14ac:dyDescent="0.25">
      <c r="A5" s="9" t="s">
        <v>3</v>
      </c>
      <c r="B5" s="10" t="str">
        <f>IF(OR(C5="",D5=""),"",IF(C5&lt;=#REF!,SUM(+D5,-C5,),"24:00"-C5+D5))</f>
        <v/>
      </c>
      <c r="C5" s="11"/>
      <c r="D5" s="11"/>
      <c r="E5" s="10"/>
      <c r="F5" s="11"/>
      <c r="G5" s="11"/>
      <c r="H5" s="12"/>
      <c r="I5" s="11"/>
      <c r="J5" s="11"/>
      <c r="K5" s="13">
        <f>SUM(K4:K4)</f>
        <v>0</v>
      </c>
      <c r="L5" s="11"/>
      <c r="M5" s="14"/>
    </row>
    <row r="6" spans="1:13" x14ac:dyDescent="0.25">
      <c r="A6" s="3" t="s">
        <v>321</v>
      </c>
      <c r="B6" s="7"/>
      <c r="C6" s="8"/>
      <c r="D6" s="8"/>
      <c r="E6" s="7"/>
      <c r="F6" s="8"/>
      <c r="G6" s="8"/>
      <c r="H6" s="8"/>
      <c r="I6" s="8"/>
      <c r="J6" s="8"/>
      <c r="K6" s="7"/>
      <c r="L6" s="1"/>
      <c r="M6" s="2"/>
    </row>
    <row r="7" spans="1:13" x14ac:dyDescent="0.25">
      <c r="A7" s="4" t="s">
        <v>333</v>
      </c>
      <c r="B7" s="5" t="str">
        <f>IF(OR(C7="",D7=""),"",IF(C7&lt;=D7,SUM(+D7,-C7,),"24:00"-C7+D7))</f>
        <v/>
      </c>
      <c r="C7" s="6"/>
      <c r="D7" s="6"/>
      <c r="E7" s="5" t="str">
        <f t="shared" ref="E7:E11" si="3">IF(OR(F7="",G7=""),"",IF(F7&lt;=G7,SUM(+G7,-F7,),"24:00"-F7+G7))</f>
        <v/>
      </c>
      <c r="F7" s="6"/>
      <c r="G7" s="6"/>
      <c r="H7" s="5" t="str">
        <f t="shared" ref="H7:H11" si="4">IF(OR(I7="",J7=""),"",IF(I7&lt;=J7,SUM(+J7,-I7,),"24:00"-I7+J7))</f>
        <v/>
      </c>
      <c r="I7" s="6"/>
      <c r="J7" s="6"/>
      <c r="K7" s="6">
        <f t="shared" ref="K7:K11" si="5">SUM(B7,E7,H7)</f>
        <v>0</v>
      </c>
      <c r="L7" s="1"/>
      <c r="M7" s="2"/>
    </row>
    <row r="8" spans="1:13" x14ac:dyDescent="0.25">
      <c r="A8" s="4" t="s">
        <v>334</v>
      </c>
      <c r="B8" s="5" t="str">
        <f t="shared" ref="B8:B12" si="6">IF(OR(C8="",D8=""),"",IF(C8&lt;=D8,SUM(+D8,-C8,),"24:00"-C8+D8))</f>
        <v/>
      </c>
      <c r="C8" s="6"/>
      <c r="D8" s="6"/>
      <c r="E8" s="5" t="str">
        <f t="shared" si="3"/>
        <v/>
      </c>
      <c r="F8" s="6"/>
      <c r="G8" s="6"/>
      <c r="H8" s="5" t="str">
        <f t="shared" si="4"/>
        <v/>
      </c>
      <c r="I8" s="6"/>
      <c r="J8" s="6"/>
      <c r="K8" s="6">
        <f t="shared" si="5"/>
        <v>0</v>
      </c>
      <c r="L8" s="1"/>
      <c r="M8" s="2"/>
    </row>
    <row r="9" spans="1:13" x14ac:dyDescent="0.25">
      <c r="A9" s="4" t="s">
        <v>335</v>
      </c>
      <c r="B9" s="5" t="str">
        <f t="shared" si="6"/>
        <v/>
      </c>
      <c r="C9" s="6"/>
      <c r="D9" s="6"/>
      <c r="E9" s="5" t="str">
        <f t="shared" si="3"/>
        <v/>
      </c>
      <c r="F9" s="6"/>
      <c r="G9" s="6"/>
      <c r="H9" s="5" t="str">
        <f t="shared" si="4"/>
        <v/>
      </c>
      <c r="I9" s="6"/>
      <c r="J9" s="6"/>
      <c r="K9" s="6">
        <f t="shared" si="5"/>
        <v>0</v>
      </c>
      <c r="L9" s="1"/>
      <c r="M9" s="2"/>
    </row>
    <row r="10" spans="1:13" x14ac:dyDescent="0.25">
      <c r="A10" s="4" t="s">
        <v>336</v>
      </c>
      <c r="B10" s="5" t="str">
        <f t="shared" si="6"/>
        <v/>
      </c>
      <c r="C10" s="6"/>
      <c r="D10" s="6"/>
      <c r="E10" s="5" t="str">
        <f t="shared" si="3"/>
        <v/>
      </c>
      <c r="F10" s="6"/>
      <c r="G10" s="6"/>
      <c r="H10" s="5" t="str">
        <f t="shared" si="4"/>
        <v/>
      </c>
      <c r="I10" s="6"/>
      <c r="J10" s="6"/>
      <c r="K10" s="6">
        <f t="shared" si="5"/>
        <v>0</v>
      </c>
      <c r="L10" s="1"/>
      <c r="M10" s="2"/>
    </row>
    <row r="11" spans="1:13" x14ac:dyDescent="0.25">
      <c r="A11" s="4" t="s">
        <v>337</v>
      </c>
      <c r="B11" s="5" t="str">
        <f t="shared" si="6"/>
        <v/>
      </c>
      <c r="C11" s="6"/>
      <c r="D11" s="6"/>
      <c r="E11" s="5" t="str">
        <f t="shared" si="3"/>
        <v/>
      </c>
      <c r="F11" s="6"/>
      <c r="G11" s="6"/>
      <c r="H11" s="5" t="str">
        <f t="shared" si="4"/>
        <v/>
      </c>
      <c r="I11" s="6"/>
      <c r="J11" s="6"/>
      <c r="K11" s="6">
        <f t="shared" si="5"/>
        <v>0</v>
      </c>
      <c r="L11" s="1"/>
      <c r="M11" s="2"/>
    </row>
    <row r="12" spans="1:13" x14ac:dyDescent="0.25">
      <c r="A12" s="9" t="s">
        <v>3</v>
      </c>
      <c r="B12" s="5" t="str">
        <f t="shared" si="6"/>
        <v/>
      </c>
      <c r="C12" s="11"/>
      <c r="D12" s="11"/>
      <c r="E12" s="10"/>
      <c r="F12" s="11"/>
      <c r="G12" s="11"/>
      <c r="H12" s="12"/>
      <c r="I12" s="11"/>
      <c r="J12" s="11"/>
      <c r="K12" s="13">
        <f>SUM(K7:K11)</f>
        <v>0</v>
      </c>
      <c r="L12" s="11"/>
      <c r="M12" s="14"/>
    </row>
    <row r="13" spans="1:13" x14ac:dyDescent="0.25">
      <c r="A13" s="3" t="s">
        <v>322</v>
      </c>
      <c r="B13" s="7"/>
      <c r="C13" s="8"/>
      <c r="D13" s="8"/>
      <c r="E13" s="7"/>
      <c r="F13" s="8"/>
      <c r="G13" s="8"/>
      <c r="H13" s="8"/>
      <c r="I13" s="8"/>
      <c r="J13" s="8"/>
      <c r="K13" s="7"/>
      <c r="L13" s="1"/>
      <c r="M13" s="2"/>
    </row>
    <row r="14" spans="1:13" x14ac:dyDescent="0.25">
      <c r="A14" s="4" t="s">
        <v>338</v>
      </c>
      <c r="B14" s="5" t="str">
        <f t="shared" ref="B14:B33" si="7">IF(OR(C14="",D14=""),"",IF(C14&lt;=D14,SUM(+D14,-C14,),"24:00"-C14+D14))</f>
        <v/>
      </c>
      <c r="C14" s="6"/>
      <c r="D14" s="6"/>
      <c r="E14" s="5" t="str">
        <f t="shared" ref="E14:E18" si="8">IF(OR(F14="",G14=""),"",IF(F14&lt;=G14,SUM(+G14,-F14,),"24:00"-F14+G14))</f>
        <v/>
      </c>
      <c r="F14" s="6"/>
      <c r="G14" s="6"/>
      <c r="H14" s="5" t="str">
        <f t="shared" ref="H14:H18" si="9">IF(OR(I14="",J14=""),"",IF(I14&lt;=J14,SUM(+J14,-I14,),"24:00"-I14+J14))</f>
        <v/>
      </c>
      <c r="I14" s="6"/>
      <c r="J14" s="6"/>
      <c r="K14" s="6">
        <f t="shared" ref="K14:K18" si="10">SUM(B14,E14,H14)</f>
        <v>0</v>
      </c>
      <c r="L14" s="1"/>
      <c r="M14" s="2"/>
    </row>
    <row r="15" spans="1:13" x14ac:dyDescent="0.25">
      <c r="A15" s="4" t="s">
        <v>339</v>
      </c>
      <c r="B15" s="5" t="str">
        <f t="shared" si="7"/>
        <v/>
      </c>
      <c r="C15" s="6"/>
      <c r="D15" s="6"/>
      <c r="E15" s="5" t="str">
        <f t="shared" si="8"/>
        <v/>
      </c>
      <c r="F15" s="6"/>
      <c r="G15" s="6"/>
      <c r="H15" s="5" t="str">
        <f t="shared" si="9"/>
        <v/>
      </c>
      <c r="I15" s="6"/>
      <c r="J15" s="6"/>
      <c r="K15" s="6">
        <f t="shared" si="10"/>
        <v>0</v>
      </c>
      <c r="L15" s="1"/>
      <c r="M15" s="2"/>
    </row>
    <row r="16" spans="1:13" x14ac:dyDescent="0.25">
      <c r="A16" s="4" t="s">
        <v>340</v>
      </c>
      <c r="B16" s="5" t="str">
        <f t="shared" si="7"/>
        <v/>
      </c>
      <c r="C16" s="6"/>
      <c r="D16" s="6"/>
      <c r="E16" s="5" t="str">
        <f t="shared" si="8"/>
        <v/>
      </c>
      <c r="F16" s="6"/>
      <c r="G16" s="6"/>
      <c r="H16" s="5" t="str">
        <f t="shared" si="9"/>
        <v/>
      </c>
      <c r="I16" s="6"/>
      <c r="J16" s="6"/>
      <c r="K16" s="6">
        <f t="shared" si="10"/>
        <v>0</v>
      </c>
      <c r="L16" s="1"/>
      <c r="M16" s="2"/>
    </row>
    <row r="17" spans="1:13" x14ac:dyDescent="0.25">
      <c r="A17" s="4" t="s">
        <v>341</v>
      </c>
      <c r="B17" s="5" t="str">
        <f t="shared" si="7"/>
        <v/>
      </c>
      <c r="C17" s="6"/>
      <c r="D17" s="6"/>
      <c r="E17" s="5" t="str">
        <f t="shared" si="8"/>
        <v/>
      </c>
      <c r="F17" s="6"/>
      <c r="G17" s="6"/>
      <c r="H17" s="5" t="str">
        <f t="shared" si="9"/>
        <v/>
      </c>
      <c r="I17" s="6"/>
      <c r="J17" s="6"/>
      <c r="K17" s="6">
        <f t="shared" si="10"/>
        <v>0</v>
      </c>
      <c r="L17" s="1"/>
      <c r="M17" s="2"/>
    </row>
    <row r="18" spans="1:13" x14ac:dyDescent="0.25">
      <c r="A18" s="4" t="s">
        <v>342</v>
      </c>
      <c r="B18" s="5" t="str">
        <f t="shared" si="7"/>
        <v/>
      </c>
      <c r="C18" s="6"/>
      <c r="D18" s="6"/>
      <c r="E18" s="5" t="str">
        <f t="shared" si="8"/>
        <v/>
      </c>
      <c r="F18" s="6"/>
      <c r="G18" s="6"/>
      <c r="H18" s="5" t="str">
        <f t="shared" si="9"/>
        <v/>
      </c>
      <c r="I18" s="6"/>
      <c r="J18" s="6"/>
      <c r="K18" s="6">
        <f t="shared" si="10"/>
        <v>0</v>
      </c>
      <c r="L18" s="1"/>
      <c r="M18" s="2"/>
    </row>
    <row r="19" spans="1:13" x14ac:dyDescent="0.25">
      <c r="A19" s="9" t="s">
        <v>3</v>
      </c>
      <c r="B19" s="5" t="str">
        <f t="shared" si="7"/>
        <v/>
      </c>
      <c r="C19" s="11"/>
      <c r="D19" s="11"/>
      <c r="E19" s="10"/>
      <c r="F19" s="11"/>
      <c r="G19" s="11"/>
      <c r="H19" s="12"/>
      <c r="I19" s="11"/>
      <c r="J19" s="11"/>
      <c r="K19" s="13">
        <f>SUM(K14:K18)</f>
        <v>0</v>
      </c>
      <c r="L19" s="11"/>
      <c r="M19" s="14"/>
    </row>
    <row r="20" spans="1:13" x14ac:dyDescent="0.25">
      <c r="A20" s="3" t="s">
        <v>323</v>
      </c>
      <c r="B20" s="7"/>
      <c r="C20" s="8"/>
      <c r="D20" s="8"/>
      <c r="E20" s="7"/>
      <c r="F20" s="8"/>
      <c r="G20" s="8"/>
      <c r="H20" s="8"/>
      <c r="I20" s="8"/>
      <c r="J20" s="8"/>
      <c r="K20" s="7"/>
      <c r="L20" s="1"/>
      <c r="M20" s="2"/>
    </row>
    <row r="21" spans="1:13" x14ac:dyDescent="0.25">
      <c r="A21" s="4" t="s">
        <v>343</v>
      </c>
      <c r="B21" s="5" t="str">
        <f t="shared" ref="B21" si="11">IF(OR(C21="",D21=""),"",IF(C21&lt;=D21,SUM(+D21,-C21,),"24:00"-C21+D21))</f>
        <v/>
      </c>
      <c r="C21" s="6"/>
      <c r="D21" s="6"/>
      <c r="E21" s="5" t="str">
        <f t="shared" ref="E21:E25" si="12">IF(OR(F21="",G21=""),"",IF(F21&lt;=G21,SUM(+G21,-F21,),"24:00"-F21+G21))</f>
        <v/>
      </c>
      <c r="F21" s="6"/>
      <c r="G21" s="6"/>
      <c r="H21" s="5" t="str">
        <f t="shared" ref="H21:H25" si="13">IF(OR(I21="",J21=""),"",IF(I21&lt;=J21,SUM(+J21,-I21,),"24:00"-I21+J21))</f>
        <v/>
      </c>
      <c r="I21" s="6"/>
      <c r="J21" s="6"/>
      <c r="K21" s="6">
        <f t="shared" ref="K21:K25" si="14">SUM(B21,E21,H21)</f>
        <v>0</v>
      </c>
      <c r="L21" s="1"/>
      <c r="M21" s="2"/>
    </row>
    <row r="22" spans="1:13" x14ac:dyDescent="0.25">
      <c r="A22" s="4" t="s">
        <v>344</v>
      </c>
      <c r="B22" s="5" t="str">
        <f t="shared" si="7"/>
        <v/>
      </c>
      <c r="C22" s="6"/>
      <c r="D22" s="6"/>
      <c r="E22" s="5" t="str">
        <f t="shared" si="12"/>
        <v/>
      </c>
      <c r="F22" s="6"/>
      <c r="G22" s="6"/>
      <c r="H22" s="5" t="str">
        <f t="shared" si="13"/>
        <v/>
      </c>
      <c r="I22" s="6"/>
      <c r="J22" s="6"/>
      <c r="K22" s="6">
        <f t="shared" si="14"/>
        <v>0</v>
      </c>
      <c r="L22" s="1"/>
      <c r="M22" s="2"/>
    </row>
    <row r="23" spans="1:13" x14ac:dyDescent="0.25">
      <c r="A23" s="4" t="s">
        <v>345</v>
      </c>
      <c r="B23" s="5" t="str">
        <f t="shared" si="7"/>
        <v/>
      </c>
      <c r="C23" s="6"/>
      <c r="D23" s="6"/>
      <c r="E23" s="5" t="str">
        <f t="shared" si="12"/>
        <v/>
      </c>
      <c r="F23" s="6"/>
      <c r="G23" s="6"/>
      <c r="H23" s="5" t="str">
        <f t="shared" si="13"/>
        <v/>
      </c>
      <c r="I23" s="6"/>
      <c r="J23" s="6"/>
      <c r="K23" s="6">
        <f t="shared" si="14"/>
        <v>0</v>
      </c>
      <c r="L23" s="1"/>
      <c r="M23" s="2"/>
    </row>
    <row r="24" spans="1:13" x14ac:dyDescent="0.25">
      <c r="A24" s="4" t="s">
        <v>346</v>
      </c>
      <c r="B24" s="5" t="str">
        <f t="shared" si="7"/>
        <v/>
      </c>
      <c r="C24" s="6"/>
      <c r="D24" s="6"/>
      <c r="E24" s="5" t="str">
        <f t="shared" si="12"/>
        <v/>
      </c>
      <c r="F24" s="6"/>
      <c r="G24" s="6"/>
      <c r="H24" s="5" t="str">
        <f t="shared" si="13"/>
        <v/>
      </c>
      <c r="I24" s="6"/>
      <c r="J24" s="6"/>
      <c r="K24" s="6">
        <f t="shared" si="14"/>
        <v>0</v>
      </c>
      <c r="L24" s="1"/>
      <c r="M24" s="2"/>
    </row>
    <row r="25" spans="1:13" x14ac:dyDescent="0.25">
      <c r="A25" s="4" t="s">
        <v>347</v>
      </c>
      <c r="B25" s="5" t="str">
        <f t="shared" si="7"/>
        <v/>
      </c>
      <c r="C25" s="6"/>
      <c r="D25" s="6"/>
      <c r="E25" s="5" t="str">
        <f t="shared" si="12"/>
        <v/>
      </c>
      <c r="F25" s="6"/>
      <c r="G25" s="6"/>
      <c r="H25" s="5" t="str">
        <f t="shared" si="13"/>
        <v/>
      </c>
      <c r="I25" s="6"/>
      <c r="J25" s="6"/>
      <c r="K25" s="6">
        <f t="shared" si="14"/>
        <v>0</v>
      </c>
      <c r="L25" s="1"/>
      <c r="M25" s="2"/>
    </row>
    <row r="26" spans="1:13" x14ac:dyDescent="0.25">
      <c r="A26" s="9" t="s">
        <v>3</v>
      </c>
      <c r="B26" s="5" t="str">
        <f t="shared" si="7"/>
        <v/>
      </c>
      <c r="C26" s="11"/>
      <c r="D26" s="11"/>
      <c r="E26" s="10"/>
      <c r="F26" s="11"/>
      <c r="G26" s="11"/>
      <c r="H26" s="12"/>
      <c r="I26" s="11"/>
      <c r="J26" s="11"/>
      <c r="K26" s="13">
        <f>SUM(K21:K25)</f>
        <v>0</v>
      </c>
      <c r="L26" s="11"/>
      <c r="M26" s="14"/>
    </row>
    <row r="27" spans="1:13" x14ac:dyDescent="0.25">
      <c r="A27" s="3" t="s">
        <v>324</v>
      </c>
      <c r="B27" s="7"/>
      <c r="C27" s="8"/>
      <c r="D27" s="8"/>
      <c r="E27" s="7"/>
      <c r="F27" s="8"/>
      <c r="G27" s="8"/>
      <c r="H27" s="8"/>
      <c r="I27" s="8"/>
      <c r="J27" s="8"/>
      <c r="K27" s="7"/>
      <c r="L27" s="1"/>
      <c r="M27" s="2"/>
    </row>
    <row r="28" spans="1:13" x14ac:dyDescent="0.25">
      <c r="A28" s="4" t="s">
        <v>348</v>
      </c>
      <c r="B28" s="5" t="str">
        <f t="shared" ref="B28" si="15">IF(OR(C28="",D28=""),"",IF(C28&lt;=D28,SUM(+D28,-C28,),"24:00"-C28+D28))</f>
        <v/>
      </c>
      <c r="C28" s="6"/>
      <c r="D28" s="6"/>
      <c r="E28" s="5" t="str">
        <f t="shared" ref="E28:E32" si="16">IF(OR(F28="",G28=""),"",IF(F28&lt;=G28,SUM(+G28,-F28,),"24:00"-F28+G28))</f>
        <v/>
      </c>
      <c r="F28" s="6"/>
      <c r="G28" s="6"/>
      <c r="H28" s="5" t="str">
        <f t="shared" ref="H28:H32" si="17">IF(OR(I28="",J28=""),"",IF(I28&lt;=J28,SUM(+J28,-I28,),"24:00"-I28+J28))</f>
        <v/>
      </c>
      <c r="I28" s="6"/>
      <c r="J28" s="6"/>
      <c r="K28" s="6">
        <f t="shared" ref="K28:K32" si="18">SUM(B28,E28,H28)</f>
        <v>0</v>
      </c>
      <c r="L28" s="1"/>
      <c r="M28" s="2" t="s">
        <v>37</v>
      </c>
    </row>
    <row r="29" spans="1:13" x14ac:dyDescent="0.25">
      <c r="A29" s="4" t="s">
        <v>349</v>
      </c>
      <c r="B29" s="5" t="str">
        <f t="shared" si="7"/>
        <v/>
      </c>
      <c r="C29" s="6"/>
      <c r="D29" s="6"/>
      <c r="E29" s="5" t="str">
        <f t="shared" si="16"/>
        <v/>
      </c>
      <c r="F29" s="6"/>
      <c r="G29" s="6"/>
      <c r="H29" s="5" t="str">
        <f t="shared" si="17"/>
        <v/>
      </c>
      <c r="I29" s="6"/>
      <c r="J29" s="6"/>
      <c r="K29" s="6">
        <f t="shared" si="18"/>
        <v>0</v>
      </c>
      <c r="L29" s="1"/>
      <c r="M29" s="2" t="s">
        <v>37</v>
      </c>
    </row>
    <row r="30" spans="1:13" x14ac:dyDescent="0.25">
      <c r="A30" s="4" t="s">
        <v>350</v>
      </c>
      <c r="B30" s="5" t="str">
        <f t="shared" si="7"/>
        <v/>
      </c>
      <c r="C30" s="6"/>
      <c r="D30" s="6"/>
      <c r="E30" s="5" t="str">
        <f t="shared" si="16"/>
        <v/>
      </c>
      <c r="F30" s="6"/>
      <c r="G30" s="6"/>
      <c r="H30" s="5" t="str">
        <f t="shared" si="17"/>
        <v/>
      </c>
      <c r="I30" s="6"/>
      <c r="J30" s="6"/>
      <c r="K30" s="6">
        <f t="shared" si="18"/>
        <v>0</v>
      </c>
      <c r="L30" s="1"/>
      <c r="M30" s="2"/>
    </row>
    <row r="31" spans="1:13" x14ac:dyDescent="0.25">
      <c r="A31" s="4" t="s">
        <v>351</v>
      </c>
      <c r="B31" s="5" t="str">
        <f t="shared" si="7"/>
        <v/>
      </c>
      <c r="C31" s="6"/>
      <c r="D31" s="6"/>
      <c r="E31" s="5" t="str">
        <f t="shared" si="16"/>
        <v/>
      </c>
      <c r="F31" s="6"/>
      <c r="G31" s="6"/>
      <c r="H31" s="5" t="str">
        <f t="shared" si="17"/>
        <v/>
      </c>
      <c r="I31" s="6"/>
      <c r="J31" s="6"/>
      <c r="K31" s="6">
        <f t="shared" si="18"/>
        <v>0</v>
      </c>
      <c r="L31" s="1"/>
      <c r="M31" s="2"/>
    </row>
    <row r="32" spans="1:13" x14ac:dyDescent="0.25">
      <c r="A32" s="4" t="s">
        <v>352</v>
      </c>
      <c r="B32" s="5" t="str">
        <f t="shared" si="7"/>
        <v/>
      </c>
      <c r="C32" s="6"/>
      <c r="D32" s="6"/>
      <c r="E32" s="5" t="str">
        <f t="shared" si="16"/>
        <v/>
      </c>
      <c r="F32" s="6"/>
      <c r="G32" s="6"/>
      <c r="H32" s="5" t="str">
        <f t="shared" si="17"/>
        <v/>
      </c>
      <c r="I32" s="6"/>
      <c r="J32" s="6"/>
      <c r="K32" s="6">
        <f t="shared" si="18"/>
        <v>0</v>
      </c>
      <c r="L32" s="1"/>
      <c r="M32" s="2"/>
    </row>
    <row r="33" spans="1:13" x14ac:dyDescent="0.25">
      <c r="A33" s="9" t="s">
        <v>3</v>
      </c>
      <c r="B33" s="5" t="str">
        <f t="shared" si="7"/>
        <v/>
      </c>
      <c r="C33" s="11"/>
      <c r="D33" s="11"/>
      <c r="E33" s="10"/>
      <c r="F33" s="11"/>
      <c r="G33" s="11"/>
      <c r="H33" s="12"/>
      <c r="I33" s="11"/>
      <c r="J33" s="11"/>
      <c r="K33" s="13">
        <f>SUM(K28:K32)</f>
        <v>0</v>
      </c>
      <c r="L33" s="11"/>
      <c r="M33" s="14"/>
    </row>
  </sheetData>
  <mergeCells count="2">
    <mergeCell ref="B1:M1"/>
    <mergeCell ref="G2:K2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Tabelle2!$A$1:$A$4</xm:f>
          </x14:formula1>
          <xm:sqref>L6 L13 L20 L27</xm:sqref>
        </x14:dataValidation>
        <x14:dataValidation type="list" allowBlank="1" showInputMessage="1" showErrorMessage="1" promptTitle="Grund bitte auswählen" prompt="Grund bitte auswählen" xr:uid="{00000000-0002-0000-0B00-000001000000}">
          <x14:formula1>
            <xm:f>Tabelle2!$A$1:$A$4</xm:f>
          </x14:formula1>
          <xm:sqref>L7:L11 L14:L18 L21:L25 L4 L28:L32</xm:sqref>
        </x14:dataValidation>
        <x14:dataValidation type="list" allowBlank="1" showInputMessage="1" showErrorMessage="1" promptTitle="bewilligte Tage" prompt="Bewilligte/n Wochentag/e bitte auswählen" xr:uid="{00000000-0002-0000-0B00-000002000000}">
          <x14:formula1>
            <xm:f>Tabelle2!$A$6:$A$28</xm:f>
          </x14:formula1>
          <xm:sqref>G2:K2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8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5</v>
      </c>
    </row>
    <row r="2" spans="1:1" x14ac:dyDescent="0.25">
      <c r="A2" t="s">
        <v>38</v>
      </c>
    </row>
    <row r="3" spans="1:1" x14ac:dyDescent="0.25">
      <c r="A3" t="s">
        <v>6</v>
      </c>
    </row>
    <row r="4" spans="1:1" x14ac:dyDescent="0.25">
      <c r="A4" t="s">
        <v>7</v>
      </c>
    </row>
    <row r="6" spans="1:1" x14ac:dyDescent="0.25">
      <c r="A6" t="s">
        <v>35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Januar 2023</vt:lpstr>
      <vt:lpstr>Februar 2023</vt:lpstr>
      <vt:lpstr>März 2023</vt:lpstr>
      <vt:lpstr>April 2023</vt:lpstr>
      <vt:lpstr>Mai 2023</vt:lpstr>
      <vt:lpstr>Juni 2023</vt:lpstr>
      <vt:lpstr>Juli 2023</vt:lpstr>
      <vt:lpstr>August 2023</vt:lpstr>
      <vt:lpstr>September 2023</vt:lpstr>
      <vt:lpstr>Oktober 2023</vt:lpstr>
      <vt:lpstr>November 2023</vt:lpstr>
      <vt:lpstr>Dezember 2023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Felder, Mareike</dc:creator>
  <cp:lastModifiedBy>na1041</cp:lastModifiedBy>
  <dcterms:created xsi:type="dcterms:W3CDTF">2020-04-20T13:50:28Z</dcterms:created>
  <dcterms:modified xsi:type="dcterms:W3CDTF">2023-03-10T13:55:59Z</dcterms:modified>
</cp:coreProperties>
</file>