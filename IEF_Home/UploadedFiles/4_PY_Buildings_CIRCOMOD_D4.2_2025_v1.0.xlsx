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Unfn_INDECOL\Research_Projects\PROJECTS\CIRCOMOD_EU_2022_2026\WP4\Task4.3_datacollection\D4.2_Data\Buildings\"/>
    </mc:Choice>
  </mc:AlternateContent>
  <xr:revisionPtr revIDLastSave="0" documentId="13_ncr:1_{97F9C301-C2A8-489F-861B-B484B5B0D1C5}" xr6:coauthVersionLast="36" xr6:coauthVersionMax="47" xr10:uidLastSave="{00000000-0000-0000-0000-000000000000}"/>
  <bookViews>
    <workbookView xWindow="0" yWindow="0" windowWidth="23040" windowHeight="9204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5" l="1"/>
  <c r="N7" i="5"/>
  <c r="N8" i="5"/>
  <c r="N9" i="5"/>
  <c r="N10" i="5"/>
  <c r="N11" i="5"/>
  <c r="N12" i="5"/>
  <c r="N13" i="5"/>
  <c r="N14" i="5"/>
  <c r="N15" i="5"/>
  <c r="N16" i="5"/>
  <c r="N5" i="5"/>
</calcChain>
</file>

<file path=xl/sharedStrings.xml><?xml version="1.0" encoding="utf-8"?>
<sst xmlns="http://schemas.openxmlformats.org/spreadsheetml/2006/main" count="549" uniqueCount="220">
  <si>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</si>
  <si>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</si>
  <si>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</si>
  <si>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</si>
  <si>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</si>
  <si>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</si>
  <si>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</si>
  <si>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</si>
  <si>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</si>
  <si>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</si>
  <si>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D42_02_FY_FabricationYield</t>
  </si>
  <si>
    <t>dataset_version</t>
  </si>
  <si>
    <t>Format_Version</t>
  </si>
  <si>
    <t>IEDC_V1</t>
  </si>
  <si>
    <t>Grouping</t>
  </si>
  <si>
    <t>datagroup_id</t>
  </si>
  <si>
    <t>CIRCOMOD_D4.2_Product_Module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</si>
  <si>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</si>
  <si>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</si>
  <si>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</si>
  <si>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</si>
  <si>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</si>
  <si>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</si>
  <si>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</si>
  <si>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</si>
  <si>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</si>
  <si>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</si>
  <si>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</si>
  <si>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</si>
  <si>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</si>
  <si>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</si>
  <si>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</si>
  <si>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</si>
  <si>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</si>
  <si>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engineering materials</t>
  </si>
  <si>
    <t>value</t>
  </si>
  <si>
    <t>product_scope</t>
  </si>
  <si>
    <t>none</t>
  </si>
  <si>
    <t>unit</t>
  </si>
  <si>
    <t>product_resolution</t>
  </si>
  <si>
    <t>stats_array_string</t>
  </si>
  <si>
    <t>material_scope</t>
  </si>
  <si>
    <t>comment</t>
  </si>
  <si>
    <t>material_resolution</t>
  </si>
  <si>
    <t>regional_scope</t>
  </si>
  <si>
    <t>regional_resolution</t>
  </si>
  <si>
    <t>country average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</si>
  <si>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</si>
  <si>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</si>
  <si>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</si>
  <si>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</si>
  <si>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</si>
  <si>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</si>
  <si>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</si>
  <si>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</si>
  <si>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</si>
  <si>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</si>
  <si>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</si>
  <si>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</si>
  <si>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</si>
  <si>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</si>
  <si>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</si>
  <si>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</si>
  <si>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</si>
  <si>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</si>
  <si>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</si>
  <si>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</si>
  <si>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</si>
  <si>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</si>
  <si>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uncertainy info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</si>
  <si>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</si>
  <si>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</si>
  <si>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</si>
  <si>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</si>
  <si>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</si>
  <si>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</si>
  <si>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</si>
  <si>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</si>
  <si>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</si>
  <si>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</si>
  <si>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</si>
  <si>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</si>
  <si>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See https://www.database.industrialecology.uni-freiburg.de/aspects.aspx for the letter codes for the different aspects.</t>
  </si>
  <si>
    <t>semantic_string_example</t>
  </si>
  <si>
    <t>Fabrication yield of materials into products, Ex: FabYield(steel, car manufacturing, 2010) = 78%.</t>
  </si>
  <si>
    <t>semantic_string_general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</si>
  <si>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</si>
  <si>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</si>
  <si>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</si>
  <si>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</si>
  <si>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</si>
  <si>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</si>
  <si>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</si>
  <si>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</si>
  <si>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</si>
  <si>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</si>
  <si>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</si>
  <si>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</si>
  <si>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</si>
  <si>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</si>
  <si>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</si>
  <si>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</si>
  <si>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</si>
  <si>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</si>
  <si>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</si>
  <si>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</si>
  <si>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</si>
  <si>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</si>
  <si>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</si>
  <si>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</si>
  <si>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</si>
  <si>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</si>
  <si>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</si>
  <si>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</si>
  <si>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</si>
  <si>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comment, proxy choices made</t>
  </si>
  <si>
    <t>Data source</t>
  </si>
  <si>
    <t>steel</t>
  </si>
  <si>
    <t>China</t>
  </si>
  <si>
    <t>construction</t>
  </si>
  <si>
    <t>yield loss</t>
  </si>
  <si>
    <t>Entry_1</t>
  </si>
  <si>
    <t>The yield loss is assumed to decrease linearly from 2020 to 2060</t>
  </si>
  <si>
    <t xml:space="preserve">The yield loss is assumed to decrease linearly from 2020 to 2060 </t>
  </si>
  <si>
    <t>cement</t>
  </si>
  <si>
    <t>World</t>
  </si>
  <si>
    <t>Entry_2</t>
  </si>
  <si>
    <t>DOI 10.1016/j.resconrec.2018.11.002</t>
  </si>
  <si>
    <t>concrete</t>
  </si>
  <si>
    <t>wood and wood products</t>
  </si>
  <si>
    <t>Rech (2018): https://www.holzwerken.net/blog/heiko-rech/wie-viel-holz-muessen-sie-kaufen/ Access date: 16.7.23. lower bound of the estimated range as this is for structural timber, which is used in standardized formats with rel. little waste.</t>
  </si>
  <si>
    <t>cast Al</t>
  </si>
  <si>
    <t>DOI 10.1038/nclimate1698</t>
  </si>
  <si>
    <t>wrought Al</t>
  </si>
  <si>
    <t>stainless steel</t>
  </si>
  <si>
    <t xml:space="preserve">DOIs    10.1021/es303149z   and    10.1021/es3031424  standard value for buildings, from manufacturing yield table for global steel cycle, </t>
  </si>
  <si>
    <t>construction grade steel</t>
  </si>
  <si>
    <t>copper electric grade</t>
  </si>
  <si>
    <t>Glöser (2013), DOI 10.1021/es400069b</t>
  </si>
  <si>
    <t>Log entry name (link to column L on Data sheet)</t>
  </si>
  <si>
    <t>Which process? (check CM_1: material_processing_technologies for existing labels, link to column C on Data sheet)</t>
  </si>
  <si>
    <t>Which material consuming sector? ( link to column F on Data sheet)</t>
  </si>
  <si>
    <t>Date (MM-DD-YYYY)</t>
  </si>
  <si>
    <t>Who</t>
  </si>
  <si>
    <t>What - detailed description</t>
  </si>
  <si>
    <t>List items of ref sheet used</t>
  </si>
  <si>
    <t>steel, many sectors</t>
  </si>
  <si>
    <t>zotin</t>
  </si>
  <si>
    <t>Data compiled by Lin et al.(2023) for steel use in China in multiple sectors</t>
  </si>
  <si>
    <t>1,2, 3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</si>
  <si>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</si>
  <si>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</si>
  <si>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</si>
  <si>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pauliuk</t>
  </si>
  <si>
    <t>Data from the RECC model database</t>
  </si>
  <si>
    <t>4,5,6,7,8,9,10,11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</si>
  <si>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</si>
  <si>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</si>
  <si>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</si>
  <si>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</si>
  <si>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</si>
  <si>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</si>
  <si>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</si>
  <si>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</si>
  <si>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</si>
  <si>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</si>
  <si>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</si>
  <si>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</si>
  <si>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</si>
  <si>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Journal article</t>
  </si>
  <si>
    <t>Zhao F, Yue Q, He JH, Li Y, Wang HM.</t>
  </si>
  <si>
    <t xml:space="preserve">Quantifying China's iron in-use stock and its driving factors analysis. </t>
  </si>
  <si>
    <t>Journal of Environmental Management</t>
  </si>
  <si>
    <t xml:space="preserve">Kermeli K, Edelenbosch OY, Crijns-Graus W, van Ruijven BJ, van Vuuren DP, Worrell E. </t>
  </si>
  <si>
    <t xml:space="preserve">Improving material projections in Integrated Assessment Models: The use of a stock-based versus a flow-based approach for the iron and steel industry. </t>
  </si>
  <si>
    <t>Energy</t>
  </si>
  <si>
    <t>Yuancheng Lin1, 2, Linwei Ma1, 2 *, Zheng Li1, 2, Weidou Ni1</t>
  </si>
  <si>
    <t>Coordinating energy and material efficiency strategies for decarbonizing China’s iron and steel sector</t>
  </si>
  <si>
    <t>Journal of Cleaner production</t>
  </si>
  <si>
    <t>https://doi.org/10.1016/j.jclepro.2023.139038</t>
  </si>
  <si>
    <t>Raw tables/data could be directly pasted here :)</t>
  </si>
  <si>
    <t>v1.0</t>
  </si>
  <si>
    <t>4_PY_Buildings_CIRCOMOD_D4.2_2025</t>
  </si>
  <si>
    <t>Yield coefficient</t>
  </si>
  <si>
    <t>Mass ratio</t>
  </si>
  <si>
    <t>buildings and infrastructure</t>
  </si>
  <si>
    <t>1 manufacturing sector</t>
  </si>
  <si>
    <t>1 construction sector</t>
  </si>
  <si>
    <t>project-wide material</t>
  </si>
  <si>
    <t>global</t>
  </si>
  <si>
    <t>2015-2060</t>
  </si>
  <si>
    <t>region specific</t>
  </si>
  <si>
    <t>Yield factors for the manufacturing stage in the construction sector</t>
  </si>
  <si>
    <t>product production; construction sector; unit process;</t>
  </si>
  <si>
    <t>engineering_material</t>
  </si>
  <si>
    <t>time</t>
  </si>
  <si>
    <t>Fabrication yield improvement</t>
  </si>
  <si>
    <t>strategy</t>
  </si>
  <si>
    <t>layer</t>
  </si>
  <si>
    <t>process</t>
  </si>
  <si>
    <t>Convert from yield loss to yield:</t>
  </si>
  <si>
    <t>yield</t>
  </si>
  <si>
    <t>yield loss:</t>
  </si>
  <si>
    <t>The yield loss is assumed to decrease linearly from 2020 to 2060; converted from yield loss to yield (see sheet raw_data)</t>
  </si>
  <si>
    <t>converted from yield loss to yield (see sheet raw_data)</t>
  </si>
  <si>
    <t>mass ratio</t>
  </si>
  <si>
    <t>unit nominator</t>
  </si>
  <si>
    <t>unit denominator</t>
  </si>
  <si>
    <t>stats_array string</t>
  </si>
  <si>
    <t>%</t>
  </si>
  <si>
    <t>Fabrication yield of materials into products: [Layer] of output over input of [engineering_materials] in production activity in [process] in [time] in [region] for [strategy] is [value].</t>
  </si>
  <si>
    <t>Publicly available report or research article</t>
  </si>
  <si>
    <t>miscellaneous licenses, see the comments in the dataset</t>
  </si>
  <si>
    <t>Result of academic MFA work</t>
  </si>
  <si>
    <t>Global</t>
  </si>
  <si>
    <t>cast aluminium</t>
  </si>
  <si>
    <t>wrought aluminium</t>
  </si>
  <si>
    <t>construction steel</t>
  </si>
  <si>
    <t>copper, electric grade</t>
  </si>
  <si>
    <t>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</si>
</sst>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1" applyFont="1"/>
    <xf numFmtId="0" fontId="3" fillId="13" borderId="2" xfId="0" applyFont="1" applyFill="1" applyBorder="1" applyAlignment="1">
      <alignment horizontal="center"/>
    </xf>
    <xf numFmtId="0" fontId="5" fillId="0" borderId="0" xfId="0" applyFont="1"/>
    <xf numFmtId="0" fontId="1" fillId="12" borderId="0" xfId="0" applyFont="1" applyFill="1" applyAlignment="1">
      <alignment horizontal="left" vertical="center" wrapText="1"/>
    </xf>
    <xf numFmtId="49" fontId="4" fillId="12" borderId="0" xfId="0" applyNumberFormat="1" applyFont="1" applyFill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0" fontId="0" fillId="2" borderId="9" xfId="0" applyFill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8" fillId="0" borderId="9" xfId="0" applyFont="1" applyBorder="1"/>
    <xf numFmtId="0" fontId="2" fillId="4" borderId="8" xfId="0" applyFont="1" applyFill="1" applyBorder="1"/>
    <xf numFmtId="0" fontId="2" fillId="0" borderId="9" xfId="0" applyFont="1" applyBorder="1"/>
    <xf numFmtId="0" fontId="8" fillId="0" borderId="10" xfId="0" applyFont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1" fillId="14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9" fillId="14" borderId="0" xfId="0" applyFont="1" applyFill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11" fillId="0" borderId="0" xfId="2"/>
    <xf numFmtId="0" fontId="12" fillId="0" borderId="0" xfId="0" applyFont="1"/>
    <xf numFmtId="0" fontId="13" fillId="0" borderId="0" xfId="0" applyFont="1"/>
    <xf numFmtId="3" fontId="13" fillId="0" borderId="0" xfId="0" applyNumberFormat="1" applyFont="1"/>
    <xf numFmtId="0" fontId="1" fillId="3" borderId="1" xfId="0" applyFont="1" applyFill="1" applyBorder="1" applyAlignment="1">
      <alignment horizontal="center"/>
    </xf>
    <xf numFmtId="0" fontId="0" fillId="0" borderId="0" xfId="0" applyAlignment="1"/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0" fillId="0" borderId="0" xfId="0"/>
    <xf numFmtId="49" fontId="1" fillId="12" borderId="0" xfId="0" applyNumberFormat="1" applyFont="1" applyFill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2" fillId="15" borderId="9" xfId="0" applyFont="1" applyFill="1" applyBorder="1"/>
    <xf numFmtId="0" fontId="0" fillId="0" borderId="0" xfId="0"/>
    <xf numFmtId="0" fontId="0" fillId="0" borderId="0" xfId="0" quotePrefix="1"/>
    <xf numFmtId="0" fontId="0" fillId="2" borderId="0" xfId="0" applyFont="1" applyFill="1" applyBorder="1"/>
  </cellXfs>
  <cellStyles count="3">
    <cellStyle name="Hyperlink" xfId="2" builtinId="8"/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clepro.2023.139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A4" zoomScaleNormal="100" workbookViewId="0">
      <selection activeCell="D23" sqref="D23"/>
    </sheetView>
  </sheetViews>
  <sheetFormatPr defaultColWidth="9.109375" defaultRowHeight="14.4" x14ac:dyDescent="0.3"/>
  <cols>
    <col min="1" max="1" width="7.109375" customWidth="1"/>
    <col min="2" max="2" width="15.88671875" customWidth="1"/>
    <col min="3" max="3" width="23.109375" bestFit="1" customWidth="1"/>
    <col min="4" max="4" width="46.88671875" style="20" customWidth="1"/>
    <col min="5" max="5" width="11.6640625" bestFit="1" customWidth="1"/>
    <col min="6" max="6" width="24.33203125" bestFit="1" customWidth="1"/>
    <col min="7" max="8" width="26" bestFit="1" customWidth="1"/>
    <col min="9" max="9" width="24.88671875" bestFit="1" customWidth="1"/>
    <col min="10" max="11" width="3.33203125" customWidth="1"/>
  </cols>
  <sheetData>
    <row r="1" spans="1:12" x14ac:dyDescent="0.3">
      <c r="E1" s="1"/>
      <c r="H1" s="10"/>
    </row>
    <row r="2" spans="1:12" ht="15.6" customHeight="1" x14ac:dyDescent="0.3">
      <c r="B2" s="66" t="s">
        <v>0</v>
      </c>
      <c r="C2" s="67"/>
      <c r="D2" s="67"/>
      <c r="E2" s="1"/>
      <c r="F2" s="66" t="s">
        <v>1</v>
      </c>
      <c r="G2" s="67"/>
      <c r="H2" s="67"/>
      <c r="I2" s="67"/>
      <c r="L2" s="1"/>
    </row>
    <row r="3" spans="1:12" x14ac:dyDescent="0.3">
      <c r="B3" s="32"/>
      <c r="C3" s="46" t="s">
        <v>2</v>
      </c>
      <c r="D3" s="47" t="s">
        <v>3</v>
      </c>
      <c r="E3" s="1"/>
      <c r="L3" s="1"/>
    </row>
    <row r="4" spans="1:12" x14ac:dyDescent="0.3">
      <c r="A4">
        <v>1</v>
      </c>
      <c r="B4" s="68" t="s">
        <v>4</v>
      </c>
      <c r="C4" s="48" t="s">
        <v>5</v>
      </c>
      <c r="D4" s="49" t="s">
        <v>6</v>
      </c>
      <c r="E4" s="1" t="s">
        <v>7</v>
      </c>
      <c r="F4" s="5" t="s">
        <v>8</v>
      </c>
      <c r="G4" s="33"/>
      <c r="H4" s="33"/>
      <c r="I4" s="34"/>
      <c r="L4" s="1"/>
    </row>
    <row r="5" spans="1:12" x14ac:dyDescent="0.3">
      <c r="A5">
        <v>2</v>
      </c>
      <c r="B5" s="67"/>
      <c r="C5" s="50" t="s">
        <v>9</v>
      </c>
      <c r="D5" s="9" t="s">
        <v>182</v>
      </c>
      <c r="E5" s="1" t="s">
        <v>7</v>
      </c>
      <c r="F5" s="35"/>
      <c r="I5" s="36"/>
      <c r="L5" s="1"/>
    </row>
    <row r="6" spans="1:12" x14ac:dyDescent="0.3">
      <c r="A6">
        <v>3</v>
      </c>
      <c r="B6" s="51"/>
      <c r="C6" s="50" t="s">
        <v>11</v>
      </c>
      <c r="D6" s="9" t="s">
        <v>181</v>
      </c>
      <c r="E6" s="1" t="s">
        <v>7</v>
      </c>
      <c r="F6" s="6" t="s">
        <v>12</v>
      </c>
      <c r="G6" s="37" t="s">
        <v>13</v>
      </c>
      <c r="H6" s="4"/>
      <c r="I6" s="7"/>
      <c r="L6" s="1"/>
    </row>
    <row r="7" spans="1:12" x14ac:dyDescent="0.3">
      <c r="A7">
        <v>4</v>
      </c>
      <c r="B7" s="69" t="s">
        <v>14</v>
      </c>
      <c r="C7" s="50" t="s">
        <v>15</v>
      </c>
      <c r="D7" s="9" t="s">
        <v>16</v>
      </c>
      <c r="E7" s="1" t="s">
        <v>7</v>
      </c>
      <c r="F7" s="6" t="s">
        <v>17</v>
      </c>
      <c r="G7" s="37" t="s">
        <v>18</v>
      </c>
      <c r="H7" s="8"/>
      <c r="I7" s="9"/>
      <c r="L7" s="1"/>
    </row>
    <row r="8" spans="1:12" x14ac:dyDescent="0.3">
      <c r="A8">
        <v>5</v>
      </c>
      <c r="B8" s="67"/>
      <c r="C8" s="50" t="s">
        <v>19</v>
      </c>
      <c r="D8" s="9">
        <v>4</v>
      </c>
      <c r="E8" s="1" t="s">
        <v>7</v>
      </c>
      <c r="F8" s="6" t="s">
        <v>20</v>
      </c>
      <c r="G8" s="37" t="s">
        <v>18</v>
      </c>
      <c r="H8" s="10"/>
      <c r="I8" s="11"/>
      <c r="L8" s="1"/>
    </row>
    <row r="9" spans="1:12" x14ac:dyDescent="0.3">
      <c r="A9">
        <v>6</v>
      </c>
      <c r="B9" s="67"/>
      <c r="C9" s="50" t="s">
        <v>21</v>
      </c>
      <c r="D9" s="9" t="s">
        <v>183</v>
      </c>
      <c r="E9" s="1" t="s">
        <v>7</v>
      </c>
      <c r="F9" s="6" t="s">
        <v>22</v>
      </c>
      <c r="G9" s="37" t="s">
        <v>18</v>
      </c>
      <c r="H9" s="10"/>
      <c r="I9" s="11"/>
      <c r="L9" s="1"/>
    </row>
    <row r="10" spans="1:12" x14ac:dyDescent="0.3">
      <c r="A10">
        <v>7</v>
      </c>
      <c r="B10" s="67"/>
      <c r="C10" s="50" t="s">
        <v>23</v>
      </c>
      <c r="D10" s="9" t="s">
        <v>184</v>
      </c>
      <c r="E10" s="1" t="s">
        <v>7</v>
      </c>
      <c r="F10" s="12" t="s">
        <v>24</v>
      </c>
      <c r="G10" s="13" t="s">
        <v>18</v>
      </c>
      <c r="H10" s="14" t="s">
        <v>25</v>
      </c>
      <c r="I10" s="19">
        <v>12</v>
      </c>
      <c r="L10" s="1"/>
    </row>
    <row r="11" spans="1:12" x14ac:dyDescent="0.3">
      <c r="A11">
        <v>8</v>
      </c>
      <c r="B11" s="70" t="s">
        <v>26</v>
      </c>
      <c r="C11" s="52" t="s">
        <v>27</v>
      </c>
      <c r="D11" s="53" t="s">
        <v>28</v>
      </c>
      <c r="E11" s="1" t="s">
        <v>7</v>
      </c>
      <c r="F11" s="25" t="s">
        <v>29</v>
      </c>
      <c r="G11" s="26" t="s">
        <v>30</v>
      </c>
      <c r="H11" s="26" t="s">
        <v>31</v>
      </c>
      <c r="I11" s="27" t="s">
        <v>32</v>
      </c>
      <c r="L11" s="1"/>
    </row>
    <row r="12" spans="1:12" x14ac:dyDescent="0.3">
      <c r="A12">
        <v>9</v>
      </c>
      <c r="B12" s="67"/>
      <c r="C12" s="52" t="s">
        <v>33</v>
      </c>
      <c r="D12" s="9" t="s">
        <v>186</v>
      </c>
      <c r="E12" s="1" t="s">
        <v>7</v>
      </c>
      <c r="F12" s="38" t="s">
        <v>194</v>
      </c>
      <c r="G12" s="3">
        <v>1</v>
      </c>
      <c r="H12" s="39" t="s">
        <v>35</v>
      </c>
      <c r="I12" s="40"/>
      <c r="L12" s="1"/>
    </row>
    <row r="13" spans="1:12" x14ac:dyDescent="0.3">
      <c r="A13">
        <v>10</v>
      </c>
      <c r="B13" s="67"/>
      <c r="C13" s="52" t="s">
        <v>36</v>
      </c>
      <c r="D13" s="9" t="s">
        <v>185</v>
      </c>
      <c r="E13" s="1" t="s">
        <v>7</v>
      </c>
      <c r="F13" s="38" t="s">
        <v>195</v>
      </c>
      <c r="G13" s="3">
        <v>1</v>
      </c>
      <c r="H13" s="82" t="s">
        <v>206</v>
      </c>
      <c r="I13" s="40"/>
      <c r="L13" s="1"/>
    </row>
    <row r="14" spans="1:12" x14ac:dyDescent="0.3">
      <c r="A14">
        <v>11</v>
      </c>
      <c r="B14" s="67"/>
      <c r="C14" s="52" t="s">
        <v>39</v>
      </c>
      <c r="D14" s="20" t="s">
        <v>187</v>
      </c>
      <c r="E14" s="1" t="s">
        <v>7</v>
      </c>
      <c r="F14" s="38" t="s">
        <v>113</v>
      </c>
      <c r="G14" s="3">
        <v>1</v>
      </c>
      <c r="H14" s="82" t="s">
        <v>207</v>
      </c>
      <c r="I14" s="40"/>
      <c r="L14" s="1"/>
    </row>
    <row r="15" spans="1:12" x14ac:dyDescent="0.3">
      <c r="A15">
        <v>12</v>
      </c>
      <c r="B15" s="67"/>
      <c r="C15" s="52" t="s">
        <v>41</v>
      </c>
      <c r="D15" s="9" t="s">
        <v>34</v>
      </c>
      <c r="E15" s="1" t="s">
        <v>7</v>
      </c>
      <c r="F15" s="38" t="s">
        <v>197</v>
      </c>
      <c r="G15" s="3">
        <v>2</v>
      </c>
      <c r="H15" s="82" t="s">
        <v>40</v>
      </c>
      <c r="I15" s="40"/>
      <c r="L15" s="1"/>
    </row>
    <row r="16" spans="1:12" x14ac:dyDescent="0.3">
      <c r="A16">
        <v>13</v>
      </c>
      <c r="B16" s="67"/>
      <c r="C16" s="52" t="s">
        <v>43</v>
      </c>
      <c r="D16" s="9" t="s">
        <v>188</v>
      </c>
      <c r="E16" s="1" t="s">
        <v>7</v>
      </c>
      <c r="F16" s="79" t="s">
        <v>199</v>
      </c>
      <c r="G16" s="3">
        <v>1</v>
      </c>
      <c r="H16" s="82" t="s">
        <v>42</v>
      </c>
      <c r="I16" s="40"/>
      <c r="L16" s="1"/>
    </row>
    <row r="17" spans="1:15" x14ac:dyDescent="0.3">
      <c r="A17">
        <v>14</v>
      </c>
      <c r="B17" s="67"/>
      <c r="C17" s="52" t="s">
        <v>44</v>
      </c>
      <c r="D17" s="9" t="s">
        <v>189</v>
      </c>
      <c r="E17" s="1" t="s">
        <v>7</v>
      </c>
      <c r="F17" s="38" t="s">
        <v>198</v>
      </c>
      <c r="G17" s="3">
        <v>1</v>
      </c>
      <c r="I17" s="36"/>
      <c r="L17" s="1"/>
    </row>
    <row r="18" spans="1:15" x14ac:dyDescent="0.3">
      <c r="A18">
        <v>15</v>
      </c>
      <c r="B18" s="67"/>
      <c r="C18" s="52" t="s">
        <v>45</v>
      </c>
      <c r="D18" s="9" t="s">
        <v>46</v>
      </c>
      <c r="E18" s="1" t="s">
        <v>7</v>
      </c>
      <c r="F18" s="35"/>
      <c r="I18" s="36"/>
      <c r="L18" s="1"/>
    </row>
    <row r="19" spans="1:15" x14ac:dyDescent="0.3">
      <c r="A19">
        <v>16</v>
      </c>
      <c r="B19" s="67"/>
      <c r="C19" s="52" t="s">
        <v>47</v>
      </c>
      <c r="D19" s="9" t="s">
        <v>190</v>
      </c>
      <c r="E19" s="1" t="s">
        <v>7</v>
      </c>
      <c r="F19" s="35"/>
      <c r="I19" s="36"/>
      <c r="L19" s="1"/>
    </row>
    <row r="20" spans="1:15" x14ac:dyDescent="0.3">
      <c r="A20">
        <v>17</v>
      </c>
      <c r="B20" s="67"/>
      <c r="C20" s="52" t="s">
        <v>48</v>
      </c>
      <c r="D20" s="9" t="s">
        <v>191</v>
      </c>
      <c r="E20" s="1" t="s">
        <v>7</v>
      </c>
      <c r="F20" s="35"/>
      <c r="I20" s="36"/>
      <c r="L20" s="1"/>
    </row>
    <row r="21" spans="1:15" x14ac:dyDescent="0.3">
      <c r="A21">
        <v>18</v>
      </c>
      <c r="B21" s="71" t="s">
        <v>49</v>
      </c>
      <c r="C21" s="52" t="s">
        <v>50</v>
      </c>
      <c r="D21" s="9" t="s">
        <v>192</v>
      </c>
      <c r="E21" s="1" t="s">
        <v>7</v>
      </c>
      <c r="F21" s="41"/>
      <c r="G21" s="42"/>
      <c r="H21" s="42"/>
      <c r="I21" s="43"/>
      <c r="L21" s="1"/>
    </row>
    <row r="22" spans="1:15" x14ac:dyDescent="0.3">
      <c r="A22">
        <v>19</v>
      </c>
      <c r="B22" s="67"/>
      <c r="C22" s="52" t="s">
        <v>51</v>
      </c>
      <c r="D22" s="9" t="s">
        <v>193</v>
      </c>
      <c r="E22" s="1" t="s">
        <v>7</v>
      </c>
      <c r="F22" s="76"/>
      <c r="L22" s="1"/>
    </row>
    <row r="23" spans="1:15" x14ac:dyDescent="0.3">
      <c r="A23">
        <v>20</v>
      </c>
      <c r="B23" s="67"/>
      <c r="C23" s="52" t="s">
        <v>52</v>
      </c>
      <c r="D23" s="80" t="s">
        <v>213</v>
      </c>
      <c r="E23" s="81" t="s">
        <v>7</v>
      </c>
      <c r="F23" s="76"/>
      <c r="L23" s="1"/>
      <c r="N23" s="15"/>
    </row>
    <row r="24" spans="1:15" x14ac:dyDescent="0.3">
      <c r="A24">
        <v>21</v>
      </c>
      <c r="B24" s="67"/>
      <c r="C24" s="52" t="s">
        <v>53</v>
      </c>
      <c r="D24" s="54">
        <v>12</v>
      </c>
      <c r="E24" s="1" t="s">
        <v>7</v>
      </c>
      <c r="F24" s="76"/>
      <c r="H24" s="10"/>
      <c r="L24" s="1"/>
      <c r="N24" s="4"/>
      <c r="O24" s="1"/>
    </row>
    <row r="25" spans="1:15" x14ac:dyDescent="0.3">
      <c r="A25">
        <v>22</v>
      </c>
      <c r="B25" s="67"/>
      <c r="C25" s="52" t="s">
        <v>42</v>
      </c>
      <c r="D25" s="9"/>
      <c r="E25" s="1" t="s">
        <v>7</v>
      </c>
      <c r="F25" s="76"/>
      <c r="G25" s="15"/>
      <c r="L25" s="1"/>
      <c r="N25" s="4"/>
    </row>
    <row r="26" spans="1:15" x14ac:dyDescent="0.3">
      <c r="A26">
        <v>23</v>
      </c>
      <c r="B26" s="72" t="s">
        <v>55</v>
      </c>
      <c r="C26" s="55" t="s">
        <v>56</v>
      </c>
      <c r="D26" s="9" t="s">
        <v>194</v>
      </c>
      <c r="E26" s="1" t="s">
        <v>7</v>
      </c>
      <c r="F26" s="76"/>
      <c r="G26" s="4"/>
      <c r="H26" s="1"/>
      <c r="L26" s="1"/>
      <c r="N26" s="4"/>
    </row>
    <row r="27" spans="1:15" x14ac:dyDescent="0.3">
      <c r="A27">
        <v>24</v>
      </c>
      <c r="B27" s="67"/>
      <c r="C27" s="55" t="s">
        <v>57</v>
      </c>
      <c r="D27" s="9">
        <v>4</v>
      </c>
      <c r="E27" s="1" t="s">
        <v>7</v>
      </c>
      <c r="F27" s="76"/>
      <c r="G27" s="4"/>
      <c r="L27" s="1"/>
      <c r="N27" s="4"/>
      <c r="O27" s="1"/>
    </row>
    <row r="28" spans="1:15" x14ac:dyDescent="0.3">
      <c r="A28">
        <v>25</v>
      </c>
      <c r="B28" s="67"/>
      <c r="C28" s="55" t="s">
        <v>58</v>
      </c>
      <c r="D28" s="9" t="s">
        <v>195</v>
      </c>
      <c r="E28" s="1" t="s">
        <v>7</v>
      </c>
      <c r="F28" s="76"/>
      <c r="G28" s="4"/>
      <c r="L28" s="1"/>
      <c r="N28" s="4"/>
      <c r="O28" s="1"/>
    </row>
    <row r="29" spans="1:15" x14ac:dyDescent="0.3">
      <c r="A29">
        <v>26</v>
      </c>
      <c r="B29" s="67"/>
      <c r="C29" s="55" t="s">
        <v>59</v>
      </c>
      <c r="D29" s="9">
        <v>3</v>
      </c>
      <c r="E29" s="1" t="s">
        <v>7</v>
      </c>
      <c r="G29" s="4"/>
      <c r="H29" s="1"/>
      <c r="N29" s="4"/>
      <c r="O29" s="1"/>
    </row>
    <row r="30" spans="1:15" x14ac:dyDescent="0.3">
      <c r="A30">
        <v>27</v>
      </c>
      <c r="B30" s="67"/>
      <c r="C30" s="55" t="s">
        <v>60</v>
      </c>
      <c r="D30" s="9" t="s">
        <v>113</v>
      </c>
      <c r="E30" s="1" t="s">
        <v>7</v>
      </c>
      <c r="G30" s="4"/>
      <c r="H30" s="1"/>
      <c r="N30" s="4"/>
    </row>
    <row r="31" spans="1:15" x14ac:dyDescent="0.3">
      <c r="A31">
        <v>28</v>
      </c>
      <c r="B31" s="67"/>
      <c r="C31" s="55" t="s">
        <v>61</v>
      </c>
      <c r="D31" s="9">
        <v>2</v>
      </c>
      <c r="E31" s="1" t="s">
        <v>7</v>
      </c>
      <c r="F31" s="76"/>
      <c r="G31" s="4"/>
      <c r="H31" s="1"/>
      <c r="N31" s="4"/>
    </row>
    <row r="32" spans="1:15" x14ac:dyDescent="0.3">
      <c r="A32">
        <v>29</v>
      </c>
      <c r="B32" s="67"/>
      <c r="C32" s="55" t="s">
        <v>62</v>
      </c>
      <c r="D32" s="9" t="s">
        <v>197</v>
      </c>
      <c r="E32" s="1" t="s">
        <v>7</v>
      </c>
      <c r="G32" s="4"/>
      <c r="N32" s="4"/>
    </row>
    <row r="33" spans="1:17" x14ac:dyDescent="0.3">
      <c r="A33">
        <v>30</v>
      </c>
      <c r="B33" s="67"/>
      <c r="C33" s="55" t="s">
        <v>63</v>
      </c>
      <c r="D33" s="9">
        <v>86</v>
      </c>
      <c r="E33" s="1" t="s">
        <v>7</v>
      </c>
      <c r="G33" s="4"/>
      <c r="N33" s="4"/>
      <c r="O33" s="2"/>
    </row>
    <row r="34" spans="1:17" x14ac:dyDescent="0.3">
      <c r="A34">
        <v>31</v>
      </c>
      <c r="B34" s="67"/>
      <c r="C34" s="55" t="s">
        <v>64</v>
      </c>
      <c r="D34" s="9" t="s">
        <v>199</v>
      </c>
      <c r="E34" s="1" t="s">
        <v>7</v>
      </c>
      <c r="G34" s="4"/>
      <c r="N34" s="4"/>
      <c r="O34" s="2"/>
    </row>
    <row r="35" spans="1:17" x14ac:dyDescent="0.3">
      <c r="A35">
        <v>32</v>
      </c>
      <c r="B35" s="67"/>
      <c r="C35" s="55" t="s">
        <v>65</v>
      </c>
      <c r="D35" s="9">
        <v>6</v>
      </c>
      <c r="E35" s="1" t="s">
        <v>7</v>
      </c>
      <c r="G35" s="4"/>
      <c r="H35" s="2"/>
      <c r="N35" s="4"/>
    </row>
    <row r="36" spans="1:17" x14ac:dyDescent="0.3">
      <c r="A36">
        <v>33</v>
      </c>
      <c r="B36" s="67"/>
      <c r="C36" s="55" t="s">
        <v>66</v>
      </c>
      <c r="D36" s="9" t="s">
        <v>198</v>
      </c>
      <c r="E36" s="1" t="s">
        <v>7</v>
      </c>
      <c r="G36" s="4"/>
      <c r="H36" s="2"/>
      <c r="N36" s="4"/>
      <c r="O36" s="1"/>
    </row>
    <row r="37" spans="1:17" x14ac:dyDescent="0.3">
      <c r="A37">
        <v>34</v>
      </c>
      <c r="B37" s="67"/>
      <c r="C37" s="55" t="s">
        <v>67</v>
      </c>
      <c r="D37" s="9">
        <v>20</v>
      </c>
      <c r="E37" s="1" t="s">
        <v>7</v>
      </c>
      <c r="G37" s="4"/>
      <c r="N37" s="4"/>
    </row>
    <row r="38" spans="1:17" x14ac:dyDescent="0.3">
      <c r="A38">
        <v>35</v>
      </c>
      <c r="B38" s="67"/>
      <c r="C38" s="55" t="s">
        <v>68</v>
      </c>
      <c r="D38" s="9" t="s">
        <v>37</v>
      </c>
      <c r="E38" s="1" t="s">
        <v>7</v>
      </c>
      <c r="G38" s="4"/>
      <c r="H38" s="1"/>
      <c r="N38" s="4"/>
    </row>
    <row r="39" spans="1:17" x14ac:dyDescent="0.3">
      <c r="A39">
        <v>36</v>
      </c>
      <c r="B39" s="67"/>
      <c r="C39" s="55" t="s">
        <v>70</v>
      </c>
      <c r="D39" s="9" t="s">
        <v>37</v>
      </c>
      <c r="E39" s="1" t="s">
        <v>7</v>
      </c>
      <c r="G39" s="4"/>
      <c r="N39" s="4"/>
    </row>
    <row r="40" spans="1:17" x14ac:dyDescent="0.3">
      <c r="A40">
        <v>37</v>
      </c>
      <c r="B40" s="67"/>
      <c r="C40" s="55" t="s">
        <v>71</v>
      </c>
      <c r="D40" s="9" t="s">
        <v>37</v>
      </c>
      <c r="E40" s="1" t="s">
        <v>7</v>
      </c>
      <c r="G40" s="4"/>
      <c r="N40" s="4"/>
    </row>
    <row r="41" spans="1:17" x14ac:dyDescent="0.3">
      <c r="A41">
        <v>38</v>
      </c>
      <c r="B41" s="67"/>
      <c r="C41" s="55" t="s">
        <v>72</v>
      </c>
      <c r="D41" s="9" t="s">
        <v>37</v>
      </c>
      <c r="E41" s="1" t="s">
        <v>7</v>
      </c>
      <c r="G41" s="4"/>
      <c r="N41" s="4"/>
    </row>
    <row r="42" spans="1:17" x14ac:dyDescent="0.3">
      <c r="A42">
        <v>39</v>
      </c>
      <c r="B42" s="67"/>
      <c r="C42" s="55" t="s">
        <v>73</v>
      </c>
      <c r="D42" s="9" t="s">
        <v>37</v>
      </c>
      <c r="E42" s="1" t="s">
        <v>7</v>
      </c>
      <c r="G42" s="4"/>
      <c r="N42" s="4"/>
    </row>
    <row r="43" spans="1:17" x14ac:dyDescent="0.3">
      <c r="A43">
        <v>40</v>
      </c>
      <c r="B43" s="67"/>
      <c r="C43" s="55" t="s">
        <v>74</v>
      </c>
      <c r="D43" s="9" t="s">
        <v>37</v>
      </c>
      <c r="E43" s="1" t="s">
        <v>7</v>
      </c>
      <c r="G43" s="4"/>
      <c r="N43" s="4"/>
      <c r="O43" s="15"/>
      <c r="P43" s="16"/>
      <c r="Q43" s="17"/>
    </row>
    <row r="44" spans="1:17" x14ac:dyDescent="0.3">
      <c r="A44">
        <v>41</v>
      </c>
      <c r="B44" s="67"/>
      <c r="C44" s="55" t="s">
        <v>75</v>
      </c>
      <c r="D44" s="9" t="s">
        <v>37</v>
      </c>
      <c r="E44" s="1" t="s">
        <v>7</v>
      </c>
      <c r="G44" s="4"/>
      <c r="N44" s="4"/>
      <c r="O44" s="4"/>
      <c r="P44" s="4"/>
      <c r="Q44" s="4"/>
    </row>
    <row r="45" spans="1:17" x14ac:dyDescent="0.3">
      <c r="A45">
        <v>42</v>
      </c>
      <c r="B45" s="67"/>
      <c r="C45" s="55" t="s">
        <v>76</v>
      </c>
      <c r="D45" s="9" t="s">
        <v>37</v>
      </c>
      <c r="E45" s="1" t="s">
        <v>7</v>
      </c>
      <c r="G45" s="4"/>
      <c r="H45" s="15"/>
      <c r="I45" s="16"/>
      <c r="O45" s="3"/>
      <c r="Q45" s="2"/>
    </row>
    <row r="46" spans="1:17" x14ac:dyDescent="0.3">
      <c r="A46">
        <v>43</v>
      </c>
      <c r="B46" s="67"/>
      <c r="C46" s="55" t="s">
        <v>77</v>
      </c>
      <c r="D46" s="9" t="s">
        <v>37</v>
      </c>
      <c r="E46" s="1" t="s">
        <v>7</v>
      </c>
      <c r="G46" s="4"/>
      <c r="H46" s="4"/>
      <c r="I46" s="4"/>
      <c r="O46" s="3"/>
      <c r="Q46" s="2"/>
    </row>
    <row r="47" spans="1:17" x14ac:dyDescent="0.3">
      <c r="A47">
        <v>44</v>
      </c>
      <c r="B47" s="67"/>
      <c r="C47" s="55" t="s">
        <v>78</v>
      </c>
      <c r="D47" s="9" t="s">
        <v>37</v>
      </c>
      <c r="E47" s="1" t="s">
        <v>7</v>
      </c>
      <c r="H47" s="44"/>
      <c r="N47" s="10"/>
      <c r="O47" s="3"/>
      <c r="Q47" s="2"/>
    </row>
    <row r="48" spans="1:17" x14ac:dyDescent="0.3">
      <c r="A48">
        <v>45</v>
      </c>
      <c r="B48" s="67"/>
      <c r="C48" s="55" t="s">
        <v>79</v>
      </c>
      <c r="D48" s="9" t="s">
        <v>37</v>
      </c>
      <c r="E48" s="1" t="s">
        <v>7</v>
      </c>
      <c r="H48" s="3"/>
      <c r="N48" s="10"/>
      <c r="O48" s="3"/>
      <c r="Q48" s="2"/>
    </row>
    <row r="49" spans="1:17" x14ac:dyDescent="0.3">
      <c r="A49">
        <v>46</v>
      </c>
      <c r="B49" s="67"/>
      <c r="C49" s="55" t="s">
        <v>80</v>
      </c>
      <c r="D49" s="9" t="s">
        <v>37</v>
      </c>
      <c r="E49" s="1" t="s">
        <v>7</v>
      </c>
      <c r="G49" s="10"/>
      <c r="H49" s="3"/>
      <c r="Q49" s="2"/>
    </row>
    <row r="50" spans="1:17" x14ac:dyDescent="0.3">
      <c r="A50">
        <v>47</v>
      </c>
      <c r="B50" s="67"/>
      <c r="C50" s="52" t="s">
        <v>81</v>
      </c>
      <c r="D50" s="57" t="s">
        <v>88</v>
      </c>
      <c r="E50" s="1" t="s">
        <v>7</v>
      </c>
      <c r="F50" t="s">
        <v>82</v>
      </c>
      <c r="H50" s="45"/>
    </row>
    <row r="51" spans="1:17" x14ac:dyDescent="0.3">
      <c r="A51">
        <v>48</v>
      </c>
      <c r="B51" s="67"/>
      <c r="C51" s="52" t="s">
        <v>83</v>
      </c>
      <c r="D51" s="56" t="s">
        <v>84</v>
      </c>
      <c r="E51" s="1" t="s">
        <v>7</v>
      </c>
      <c r="H51" s="45"/>
    </row>
    <row r="52" spans="1:17" x14ac:dyDescent="0.3">
      <c r="A52">
        <v>49</v>
      </c>
      <c r="B52" s="67"/>
      <c r="C52" s="52" t="s">
        <v>85</v>
      </c>
      <c r="D52" s="9" t="s">
        <v>210</v>
      </c>
      <c r="E52" s="1" t="s">
        <v>7</v>
      </c>
      <c r="H52" s="45"/>
    </row>
    <row r="53" spans="1:17" x14ac:dyDescent="0.3">
      <c r="A53">
        <v>50</v>
      </c>
      <c r="B53" s="73" t="s">
        <v>86</v>
      </c>
      <c r="C53" s="50" t="s">
        <v>87</v>
      </c>
      <c r="D53" s="57" t="s">
        <v>211</v>
      </c>
      <c r="E53" s="1" t="s">
        <v>7</v>
      </c>
    </row>
    <row r="54" spans="1:17" x14ac:dyDescent="0.3">
      <c r="A54">
        <v>51</v>
      </c>
      <c r="B54" s="67"/>
      <c r="C54" s="50" t="s">
        <v>89</v>
      </c>
      <c r="D54" s="80" t="s">
        <v>212</v>
      </c>
      <c r="E54" s="1" t="s">
        <v>7</v>
      </c>
    </row>
    <row r="55" spans="1:17" x14ac:dyDescent="0.3">
      <c r="A55">
        <v>52</v>
      </c>
      <c r="B55" s="67"/>
      <c r="C55" s="50" t="s">
        <v>90</v>
      </c>
      <c r="D55" s="57" t="s">
        <v>88</v>
      </c>
      <c r="E55" s="1" t="s">
        <v>7</v>
      </c>
    </row>
    <row r="56" spans="1:17" x14ac:dyDescent="0.3">
      <c r="A56">
        <v>53</v>
      </c>
      <c r="B56" s="67"/>
      <c r="C56" s="50" t="s">
        <v>91</v>
      </c>
      <c r="D56" s="57" t="s">
        <v>88</v>
      </c>
      <c r="E56" s="1" t="s">
        <v>7</v>
      </c>
    </row>
    <row r="57" spans="1:17" x14ac:dyDescent="0.3">
      <c r="A57">
        <v>54</v>
      </c>
      <c r="B57" s="67"/>
      <c r="C57" s="52" t="s">
        <v>92</v>
      </c>
      <c r="D57" s="57" t="s">
        <v>88</v>
      </c>
      <c r="E57" s="1" t="s">
        <v>7</v>
      </c>
    </row>
    <row r="58" spans="1:17" x14ac:dyDescent="0.3">
      <c r="A58">
        <v>55</v>
      </c>
      <c r="B58" s="67"/>
      <c r="C58" s="50" t="s">
        <v>93</v>
      </c>
      <c r="D58" s="57" t="s">
        <v>94</v>
      </c>
      <c r="E58" s="1" t="s">
        <v>7</v>
      </c>
    </row>
    <row r="59" spans="1:17" x14ac:dyDescent="0.3">
      <c r="A59">
        <v>56</v>
      </c>
      <c r="B59" s="67"/>
      <c r="C59" s="50" t="s">
        <v>95</v>
      </c>
      <c r="D59" s="57" t="s">
        <v>94</v>
      </c>
      <c r="E59" s="1" t="s">
        <v>7</v>
      </c>
    </row>
    <row r="60" spans="1:17" x14ac:dyDescent="0.3">
      <c r="A60">
        <v>57</v>
      </c>
      <c r="B60" s="67"/>
      <c r="C60" s="50" t="s">
        <v>96</v>
      </c>
      <c r="D60" s="53">
        <v>1</v>
      </c>
      <c r="E60" s="1" t="s">
        <v>7</v>
      </c>
    </row>
    <row r="61" spans="1:17" x14ac:dyDescent="0.3">
      <c r="A61">
        <v>58</v>
      </c>
      <c r="B61" s="74" t="s">
        <v>97</v>
      </c>
      <c r="C61" s="50" t="s">
        <v>98</v>
      </c>
      <c r="D61" s="57" t="s">
        <v>94</v>
      </c>
      <c r="E61" s="1" t="s">
        <v>7</v>
      </c>
    </row>
    <row r="62" spans="1:17" x14ac:dyDescent="0.3">
      <c r="A62">
        <v>59</v>
      </c>
      <c r="B62" s="67"/>
      <c r="C62" s="50" t="s">
        <v>99</v>
      </c>
      <c r="D62" s="54" t="s">
        <v>54</v>
      </c>
      <c r="E62" s="1" t="s">
        <v>7</v>
      </c>
    </row>
    <row r="63" spans="1:17" x14ac:dyDescent="0.3">
      <c r="A63">
        <v>60</v>
      </c>
      <c r="B63" s="67"/>
      <c r="C63" s="50" t="s">
        <v>100</v>
      </c>
      <c r="D63" s="9" t="s">
        <v>101</v>
      </c>
      <c r="E63" s="1" t="s">
        <v>7</v>
      </c>
    </row>
    <row r="64" spans="1:17" x14ac:dyDescent="0.3">
      <c r="A64">
        <v>61</v>
      </c>
      <c r="B64" s="67"/>
      <c r="C64" s="50" t="s">
        <v>102</v>
      </c>
      <c r="D64" s="9" t="s">
        <v>103</v>
      </c>
      <c r="E64" s="1" t="s">
        <v>7</v>
      </c>
    </row>
    <row r="65" spans="1:5" x14ac:dyDescent="0.3">
      <c r="A65">
        <v>62</v>
      </c>
      <c r="B65" s="67"/>
      <c r="C65" s="50" t="s">
        <v>104</v>
      </c>
      <c r="D65" s="36"/>
      <c r="E65" s="1" t="s">
        <v>7</v>
      </c>
    </row>
    <row r="66" spans="1:5" x14ac:dyDescent="0.3">
      <c r="A66">
        <v>63</v>
      </c>
      <c r="B66" s="67"/>
      <c r="C66" s="50" t="s">
        <v>105</v>
      </c>
      <c r="D66" s="36"/>
      <c r="E66" s="1" t="s">
        <v>7</v>
      </c>
    </row>
    <row r="67" spans="1:5" x14ac:dyDescent="0.3">
      <c r="A67">
        <v>64</v>
      </c>
      <c r="B67" s="67"/>
      <c r="C67" s="50" t="s">
        <v>106</v>
      </c>
      <c r="D67" s="36"/>
      <c r="E67" s="1" t="s">
        <v>7</v>
      </c>
    </row>
    <row r="68" spans="1:5" x14ac:dyDescent="0.3">
      <c r="A68">
        <v>65</v>
      </c>
      <c r="B68" s="75" t="s">
        <v>107</v>
      </c>
      <c r="C68" s="35" t="s">
        <v>108</v>
      </c>
      <c r="D68" s="36"/>
      <c r="E68" s="1" t="s">
        <v>7</v>
      </c>
    </row>
    <row r="69" spans="1:5" x14ac:dyDescent="0.3">
      <c r="A69">
        <v>66</v>
      </c>
      <c r="B69" s="67"/>
      <c r="C69" s="35" t="s">
        <v>109</v>
      </c>
      <c r="D69" s="36"/>
      <c r="E69" s="1" t="s">
        <v>7</v>
      </c>
    </row>
    <row r="70" spans="1:5" x14ac:dyDescent="0.3">
      <c r="A70">
        <v>67</v>
      </c>
      <c r="B70" s="67"/>
      <c r="C70" s="35" t="s">
        <v>110</v>
      </c>
      <c r="D70" s="36"/>
      <c r="E70" s="1" t="s">
        <v>7</v>
      </c>
    </row>
    <row r="71" spans="1:5" x14ac:dyDescent="0.3">
      <c r="A71">
        <v>68</v>
      </c>
      <c r="B71" s="67"/>
      <c r="C71" s="35" t="s">
        <v>111</v>
      </c>
      <c r="D71" s="36"/>
      <c r="E71" s="1" t="s">
        <v>7</v>
      </c>
    </row>
    <row r="72" spans="1:5" x14ac:dyDescent="0.3">
      <c r="A72">
        <v>69</v>
      </c>
      <c r="B72" s="67"/>
      <c r="C72" s="41" t="s">
        <v>112</v>
      </c>
      <c r="D72" s="43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tabSelected="1" zoomScaleNormal="100" workbookViewId="0">
      <selection activeCell="A7" sqref="A7"/>
    </sheetView>
  </sheetViews>
  <sheetFormatPr defaultColWidth="11.44140625" defaultRowHeight="14.4" x14ac:dyDescent="0.3"/>
  <cols>
    <col min="1" max="13" width="17.5546875" style="24" customWidth="1"/>
    <col min="14" max="14" width="26.109375" style="24" customWidth="1"/>
    <col min="15" max="16384" width="11.44140625" style="24"/>
  </cols>
  <sheetData>
    <row r="1" spans="1:13" s="78" customFormat="1" ht="28.8" x14ac:dyDescent="0.3">
      <c r="A1" s="21" t="s">
        <v>194</v>
      </c>
      <c r="B1" s="21" t="s">
        <v>195</v>
      </c>
      <c r="C1" s="21" t="s">
        <v>113</v>
      </c>
      <c r="D1" s="21" t="s">
        <v>197</v>
      </c>
      <c r="E1" s="21" t="s">
        <v>199</v>
      </c>
      <c r="F1" s="21" t="s">
        <v>198</v>
      </c>
      <c r="G1" s="21" t="s">
        <v>35</v>
      </c>
      <c r="H1" s="21" t="s">
        <v>206</v>
      </c>
      <c r="I1" s="77" t="s">
        <v>207</v>
      </c>
      <c r="J1" s="21" t="s">
        <v>208</v>
      </c>
      <c r="K1" s="21" t="s">
        <v>42</v>
      </c>
      <c r="L1" s="21" t="s">
        <v>114</v>
      </c>
      <c r="M1" s="21" t="s">
        <v>116</v>
      </c>
    </row>
    <row r="2" spans="1:13" x14ac:dyDescent="0.3">
      <c r="A2" s="64" t="s">
        <v>117</v>
      </c>
      <c r="B2" s="64">
        <v>2020</v>
      </c>
      <c r="C2" s="64" t="s">
        <v>118</v>
      </c>
      <c r="D2" s="64" t="s">
        <v>37</v>
      </c>
      <c r="E2" s="64" t="s">
        <v>119</v>
      </c>
      <c r="F2" t="s">
        <v>205</v>
      </c>
      <c r="G2" s="64">
        <v>0.92999999999999994</v>
      </c>
      <c r="H2" s="64" t="s">
        <v>209</v>
      </c>
      <c r="I2" s="64">
        <v>1</v>
      </c>
      <c r="J2" s="64" t="s">
        <v>37</v>
      </c>
      <c r="K2" s="64" t="s">
        <v>203</v>
      </c>
      <c r="L2" s="64" t="s">
        <v>121</v>
      </c>
      <c r="M2" s="64"/>
    </row>
    <row r="3" spans="1:13" x14ac:dyDescent="0.3">
      <c r="A3" s="64" t="s">
        <v>117</v>
      </c>
      <c r="B3" s="64">
        <v>2060</v>
      </c>
      <c r="C3" s="64" t="s">
        <v>118</v>
      </c>
      <c r="D3" s="24" t="s">
        <v>196</v>
      </c>
      <c r="E3" s="64" t="s">
        <v>119</v>
      </c>
      <c r="F3" s="76" t="s">
        <v>205</v>
      </c>
      <c r="G3" s="64">
        <v>0.95</v>
      </c>
      <c r="H3" s="64" t="s">
        <v>209</v>
      </c>
      <c r="I3" s="64">
        <v>1</v>
      </c>
      <c r="J3" s="64" t="s">
        <v>37</v>
      </c>
      <c r="K3" s="64" t="s">
        <v>203</v>
      </c>
      <c r="L3" s="64" t="s">
        <v>121</v>
      </c>
      <c r="M3" s="64"/>
    </row>
    <row r="4" spans="1:13" x14ac:dyDescent="0.3">
      <c r="A4" s="64" t="s">
        <v>124</v>
      </c>
      <c r="B4" s="64">
        <v>2015</v>
      </c>
      <c r="C4" s="64" t="s">
        <v>214</v>
      </c>
      <c r="D4" s="64" t="s">
        <v>37</v>
      </c>
      <c r="E4" s="64" t="s">
        <v>119</v>
      </c>
      <c r="F4" s="76" t="s">
        <v>205</v>
      </c>
      <c r="G4" s="64">
        <v>0.97</v>
      </c>
      <c r="H4" s="64" t="s">
        <v>209</v>
      </c>
      <c r="I4" s="64">
        <v>1</v>
      </c>
      <c r="J4" s="64" t="s">
        <v>37</v>
      </c>
      <c r="K4" s="64" t="s">
        <v>204</v>
      </c>
      <c r="L4" s="64" t="s">
        <v>126</v>
      </c>
      <c r="M4" s="64" t="s">
        <v>127</v>
      </c>
    </row>
    <row r="5" spans="1:13" x14ac:dyDescent="0.3">
      <c r="A5" s="64" t="s">
        <v>128</v>
      </c>
      <c r="B5" s="64">
        <v>2015</v>
      </c>
      <c r="C5" s="64" t="s">
        <v>214</v>
      </c>
      <c r="D5" s="64" t="s">
        <v>37</v>
      </c>
      <c r="E5" s="64" t="s">
        <v>119</v>
      </c>
      <c r="F5" s="76" t="s">
        <v>205</v>
      </c>
      <c r="G5" s="64">
        <v>0.97</v>
      </c>
      <c r="H5" s="64" t="s">
        <v>209</v>
      </c>
      <c r="I5" s="64">
        <v>1</v>
      </c>
      <c r="J5" s="64" t="s">
        <v>37</v>
      </c>
      <c r="K5" s="64" t="s">
        <v>204</v>
      </c>
      <c r="L5" s="64" t="s">
        <v>126</v>
      </c>
      <c r="M5" s="64" t="s">
        <v>127</v>
      </c>
    </row>
    <row r="6" spans="1:13" x14ac:dyDescent="0.3">
      <c r="A6" s="64" t="s">
        <v>219</v>
      </c>
      <c r="B6" s="64">
        <v>2015</v>
      </c>
      <c r="C6" s="64" t="s">
        <v>214</v>
      </c>
      <c r="D6" s="64" t="s">
        <v>37</v>
      </c>
      <c r="E6" s="64" t="s">
        <v>119</v>
      </c>
      <c r="F6" s="76" t="s">
        <v>205</v>
      </c>
      <c r="G6" s="64">
        <v>0.9</v>
      </c>
      <c r="H6" s="64" t="s">
        <v>209</v>
      </c>
      <c r="I6" s="64">
        <v>1</v>
      </c>
      <c r="J6" s="64" t="s">
        <v>37</v>
      </c>
      <c r="K6" s="64" t="s">
        <v>204</v>
      </c>
      <c r="L6" s="64" t="s">
        <v>126</v>
      </c>
      <c r="M6" s="64" t="s">
        <v>130</v>
      </c>
    </row>
    <row r="7" spans="1:13" x14ac:dyDescent="0.3">
      <c r="A7" s="24" t="s">
        <v>215</v>
      </c>
      <c r="B7" s="64">
        <v>2015</v>
      </c>
      <c r="C7" s="64" t="s">
        <v>214</v>
      </c>
      <c r="D7" s="64" t="s">
        <v>37</v>
      </c>
      <c r="E7" s="64" t="s">
        <v>119</v>
      </c>
      <c r="F7" s="76" t="s">
        <v>205</v>
      </c>
      <c r="G7" s="64">
        <v>0.9</v>
      </c>
      <c r="H7" s="64" t="s">
        <v>209</v>
      </c>
      <c r="I7" s="64">
        <v>1</v>
      </c>
      <c r="J7" s="64" t="s">
        <v>37</v>
      </c>
      <c r="K7" s="64" t="s">
        <v>204</v>
      </c>
      <c r="L7" s="64" t="s">
        <v>126</v>
      </c>
      <c r="M7" s="64" t="s">
        <v>132</v>
      </c>
    </row>
    <row r="8" spans="1:13" x14ac:dyDescent="0.3">
      <c r="A8" s="64" t="s">
        <v>216</v>
      </c>
      <c r="B8" s="64">
        <v>2015</v>
      </c>
      <c r="C8" s="64" t="s">
        <v>214</v>
      </c>
      <c r="D8" s="64" t="s">
        <v>37</v>
      </c>
      <c r="E8" s="64" t="s">
        <v>119</v>
      </c>
      <c r="F8" s="76" t="s">
        <v>205</v>
      </c>
      <c r="G8" s="64">
        <v>0.9</v>
      </c>
      <c r="H8" s="64" t="s">
        <v>209</v>
      </c>
      <c r="I8" s="64">
        <v>1</v>
      </c>
      <c r="J8" s="64" t="s">
        <v>37</v>
      </c>
      <c r="K8" s="64" t="s">
        <v>204</v>
      </c>
      <c r="L8" s="64" t="s">
        <v>126</v>
      </c>
      <c r="M8" s="64" t="s">
        <v>132</v>
      </c>
    </row>
    <row r="9" spans="1:13" x14ac:dyDescent="0.3">
      <c r="A9" s="64" t="s">
        <v>134</v>
      </c>
      <c r="B9" s="64">
        <v>2015</v>
      </c>
      <c r="C9" s="64" t="s">
        <v>214</v>
      </c>
      <c r="D9" s="64" t="s">
        <v>37</v>
      </c>
      <c r="E9" s="64" t="s">
        <v>119</v>
      </c>
      <c r="F9" s="76" t="s">
        <v>205</v>
      </c>
      <c r="G9" s="64">
        <v>0.95</v>
      </c>
      <c r="H9" s="64" t="s">
        <v>209</v>
      </c>
      <c r="I9" s="64">
        <v>1</v>
      </c>
      <c r="J9" s="64" t="s">
        <v>37</v>
      </c>
      <c r="K9" s="64" t="s">
        <v>204</v>
      </c>
      <c r="L9" s="64" t="s">
        <v>126</v>
      </c>
      <c r="M9" s="64" t="s">
        <v>135</v>
      </c>
    </row>
    <row r="10" spans="1:13" x14ac:dyDescent="0.3">
      <c r="A10" s="64" t="s">
        <v>217</v>
      </c>
      <c r="B10" s="64">
        <v>2015</v>
      </c>
      <c r="C10" s="64" t="s">
        <v>214</v>
      </c>
      <c r="D10" s="64" t="s">
        <v>37</v>
      </c>
      <c r="E10" s="64" t="s">
        <v>119</v>
      </c>
      <c r="F10" s="76" t="s">
        <v>205</v>
      </c>
      <c r="G10" s="64">
        <v>0.95</v>
      </c>
      <c r="H10" s="64" t="s">
        <v>209</v>
      </c>
      <c r="I10" s="64">
        <v>1</v>
      </c>
      <c r="J10" s="64" t="s">
        <v>37</v>
      </c>
      <c r="K10" s="64" t="s">
        <v>204</v>
      </c>
      <c r="L10" s="64" t="s">
        <v>126</v>
      </c>
      <c r="M10" s="64" t="s">
        <v>135</v>
      </c>
    </row>
    <row r="11" spans="1:13" x14ac:dyDescent="0.3">
      <c r="A11" s="64" t="s">
        <v>218</v>
      </c>
      <c r="B11" s="64">
        <v>2015</v>
      </c>
      <c r="C11" s="64" t="s">
        <v>214</v>
      </c>
      <c r="D11" s="64" t="s">
        <v>37</v>
      </c>
      <c r="E11" s="64" t="s">
        <v>119</v>
      </c>
      <c r="F11" s="76" t="s">
        <v>205</v>
      </c>
      <c r="G11" s="64">
        <v>0.99</v>
      </c>
      <c r="H11" s="64" t="s">
        <v>209</v>
      </c>
      <c r="I11" s="64">
        <v>1</v>
      </c>
      <c r="J11" s="64" t="s">
        <v>37</v>
      </c>
      <c r="K11" s="64" t="s">
        <v>204</v>
      </c>
      <c r="L11" s="64" t="s">
        <v>126</v>
      </c>
      <c r="M11" s="64" t="s">
        <v>138</v>
      </c>
    </row>
    <row r="12" spans="1:13" x14ac:dyDescent="0.3">
      <c r="A12" s="64" t="s">
        <v>124</v>
      </c>
      <c r="B12" s="64">
        <v>2015</v>
      </c>
      <c r="C12" s="64" t="s">
        <v>214</v>
      </c>
      <c r="D12" s="24" t="s">
        <v>196</v>
      </c>
      <c r="E12" s="64" t="s">
        <v>119</v>
      </c>
      <c r="F12" s="76" t="s">
        <v>205</v>
      </c>
      <c r="G12" s="64">
        <v>0.98499999999999999</v>
      </c>
      <c r="H12" s="64" t="s">
        <v>209</v>
      </c>
      <c r="I12" s="64">
        <v>1</v>
      </c>
      <c r="J12" s="64" t="s">
        <v>37</v>
      </c>
      <c r="K12" s="64" t="s">
        <v>204</v>
      </c>
      <c r="L12" s="64" t="s">
        <v>126</v>
      </c>
      <c r="M12" s="64" t="s">
        <v>127</v>
      </c>
    </row>
    <row r="13" spans="1:13" x14ac:dyDescent="0.3">
      <c r="A13" s="64" t="s">
        <v>128</v>
      </c>
      <c r="B13" s="64">
        <v>2015</v>
      </c>
      <c r="C13" s="64" t="s">
        <v>214</v>
      </c>
      <c r="D13" s="24" t="s">
        <v>196</v>
      </c>
      <c r="E13" s="64" t="s">
        <v>119</v>
      </c>
      <c r="F13" s="76" t="s">
        <v>205</v>
      </c>
      <c r="G13" s="64">
        <v>0.98499999999999999</v>
      </c>
      <c r="H13" s="64" t="s">
        <v>209</v>
      </c>
      <c r="I13" s="64">
        <v>1</v>
      </c>
      <c r="J13" s="64" t="s">
        <v>37</v>
      </c>
      <c r="K13" s="64" t="s">
        <v>204</v>
      </c>
      <c r="L13" s="64" t="s">
        <v>126</v>
      </c>
      <c r="M13" s="64" t="s">
        <v>127</v>
      </c>
    </row>
  </sheetData>
  <phoneticPr fontId="10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B4" sqref="B4"/>
    </sheetView>
  </sheetViews>
  <sheetFormatPr defaultColWidth="9" defaultRowHeight="14.4" x14ac:dyDescent="0.3"/>
  <cols>
    <col min="1" max="1" width="33.88671875" customWidth="1"/>
    <col min="2" max="2" width="37.109375" customWidth="1"/>
    <col min="3" max="3" width="20" customWidth="1"/>
    <col min="4" max="4" width="15.88671875" customWidth="1"/>
    <col min="5" max="5" width="20.33203125" customWidth="1"/>
    <col min="6" max="6" width="24" customWidth="1"/>
    <col min="7" max="7" width="11.88671875" customWidth="1"/>
  </cols>
  <sheetData>
    <row r="1" spans="1:7" s="30" customFormat="1" ht="57.6" x14ac:dyDescent="0.3">
      <c r="A1" s="60" t="s">
        <v>139</v>
      </c>
      <c r="B1" s="58" t="s">
        <v>140</v>
      </c>
      <c r="C1" s="58" t="s">
        <v>141</v>
      </c>
      <c r="D1" s="58" t="s">
        <v>142</v>
      </c>
      <c r="E1" s="58" t="s">
        <v>143</v>
      </c>
      <c r="F1" s="58" t="s">
        <v>144</v>
      </c>
      <c r="G1" s="58" t="s">
        <v>145</v>
      </c>
    </row>
    <row r="2" spans="1:7" x14ac:dyDescent="0.3">
      <c r="A2" s="24" t="s">
        <v>121</v>
      </c>
      <c r="B2" s="24" t="s">
        <v>146</v>
      </c>
      <c r="C2" s="24" t="s">
        <v>119</v>
      </c>
      <c r="D2" s="61">
        <v>45342</v>
      </c>
      <c r="E2" s="24" t="s">
        <v>147</v>
      </c>
      <c r="F2" s="24" t="s">
        <v>148</v>
      </c>
      <c r="G2" s="24" t="s">
        <v>149</v>
      </c>
    </row>
    <row r="3" spans="1:7" x14ac:dyDescent="0.3">
      <c r="A3" s="24"/>
      <c r="B3" s="24"/>
      <c r="C3" s="24"/>
      <c r="D3" s="24"/>
      <c r="E3" s="24"/>
      <c r="F3" s="59" t="s">
        <v>150</v>
      </c>
      <c r="G3" s="24"/>
    </row>
    <row r="4" spans="1:7" x14ac:dyDescent="0.3">
      <c r="A4" s="24"/>
      <c r="B4" s="24"/>
      <c r="C4" s="24"/>
      <c r="D4" s="24"/>
      <c r="E4" s="24"/>
      <c r="F4" s="24" t="s">
        <v>151</v>
      </c>
      <c r="G4" s="24"/>
    </row>
    <row r="5" spans="1:7" x14ac:dyDescent="0.3">
      <c r="A5" s="24"/>
      <c r="B5" s="24"/>
      <c r="C5" s="24"/>
      <c r="D5" s="24"/>
      <c r="E5" s="24"/>
      <c r="F5" s="59" t="s">
        <v>152</v>
      </c>
      <c r="G5" s="24"/>
    </row>
    <row r="6" spans="1:7" x14ac:dyDescent="0.3">
      <c r="A6" s="24"/>
      <c r="B6" s="24"/>
      <c r="C6" s="24"/>
      <c r="D6" s="24"/>
      <c r="E6" s="24"/>
      <c r="F6" s="24" t="s">
        <v>151</v>
      </c>
      <c r="G6" s="24"/>
    </row>
    <row r="8" spans="1:7" x14ac:dyDescent="0.3">
      <c r="A8" s="64" t="s">
        <v>126</v>
      </c>
      <c r="B8" s="64" t="s">
        <v>146</v>
      </c>
      <c r="C8" s="64" t="s">
        <v>119</v>
      </c>
      <c r="D8" s="65">
        <v>30042024</v>
      </c>
      <c r="E8" s="64" t="s">
        <v>153</v>
      </c>
      <c r="F8" s="63" t="s">
        <v>154</v>
      </c>
      <c r="G8" s="64" t="s">
        <v>155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12"/>
  <sheetViews>
    <sheetView workbookViewId="0">
      <selection activeCell="B17" sqref="B17"/>
    </sheetView>
  </sheetViews>
  <sheetFormatPr defaultColWidth="10.6640625" defaultRowHeight="14.4" x14ac:dyDescent="0.3"/>
  <cols>
    <col min="2" max="2" width="35.5546875" customWidth="1"/>
  </cols>
  <sheetData>
    <row r="1" spans="2:14" s="30" customFormat="1" ht="115.2" x14ac:dyDescent="0.3">
      <c r="B1" s="28" t="s">
        <v>156</v>
      </c>
      <c r="C1" s="29" t="s">
        <v>157</v>
      </c>
      <c r="D1" s="29" t="s">
        <v>158</v>
      </c>
      <c r="E1" s="28" t="s">
        <v>159</v>
      </c>
      <c r="F1" s="28" t="s">
        <v>160</v>
      </c>
      <c r="G1" s="28" t="s">
        <v>161</v>
      </c>
      <c r="H1" s="28" t="s">
        <v>162</v>
      </c>
      <c r="I1" s="28" t="s">
        <v>163</v>
      </c>
      <c r="J1" s="28" t="s">
        <v>164</v>
      </c>
      <c r="K1" s="28" t="s">
        <v>165</v>
      </c>
      <c r="L1" s="28" t="s">
        <v>166</v>
      </c>
      <c r="M1" s="28" t="s">
        <v>167</v>
      </c>
      <c r="N1" s="28" t="s">
        <v>168</v>
      </c>
    </row>
    <row r="2" spans="2:14" x14ac:dyDescent="0.3">
      <c r="B2" s="4" t="s">
        <v>10</v>
      </c>
      <c r="C2" s="31">
        <v>1</v>
      </c>
      <c r="D2" s="15" t="s">
        <v>169</v>
      </c>
      <c r="E2" t="s">
        <v>170</v>
      </c>
      <c r="F2" s="4" t="s">
        <v>171</v>
      </c>
      <c r="G2" s="4">
        <v>2020</v>
      </c>
      <c r="H2" s="4" t="s">
        <v>172</v>
      </c>
      <c r="I2" s="4"/>
      <c r="J2" s="4"/>
      <c r="K2" s="4"/>
      <c r="L2" s="4"/>
      <c r="M2" s="4"/>
      <c r="N2" s="4"/>
    </row>
    <row r="3" spans="2:14" x14ac:dyDescent="0.3">
      <c r="B3" s="4" t="s">
        <v>10</v>
      </c>
      <c r="C3" s="31">
        <v>2</v>
      </c>
      <c r="D3" s="15" t="s">
        <v>169</v>
      </c>
      <c r="E3" t="s">
        <v>173</v>
      </c>
      <c r="F3" t="s">
        <v>174</v>
      </c>
      <c r="G3">
        <v>2022</v>
      </c>
      <c r="H3" t="s">
        <v>175</v>
      </c>
    </row>
    <row r="4" spans="2:14" x14ac:dyDescent="0.3">
      <c r="B4" s="4" t="s">
        <v>10</v>
      </c>
      <c r="C4" s="31">
        <v>3</v>
      </c>
      <c r="D4" s="15" t="s">
        <v>169</v>
      </c>
      <c r="E4" t="s">
        <v>176</v>
      </c>
      <c r="F4" t="s">
        <v>177</v>
      </c>
      <c r="G4">
        <v>2023</v>
      </c>
      <c r="H4" t="s">
        <v>178</v>
      </c>
      <c r="J4" s="62" t="s">
        <v>179</v>
      </c>
      <c r="N4" s="18"/>
    </row>
    <row r="5" spans="2:14" x14ac:dyDescent="0.3">
      <c r="B5" s="63" t="s">
        <v>10</v>
      </c>
      <c r="C5" s="64">
        <v>4</v>
      </c>
      <c r="D5" s="64"/>
      <c r="E5" s="64"/>
      <c r="F5" s="64"/>
      <c r="G5" s="64"/>
      <c r="H5" s="64"/>
      <c r="I5" s="64"/>
      <c r="J5" s="64" t="s">
        <v>127</v>
      </c>
      <c r="K5" s="64"/>
      <c r="L5" s="64"/>
      <c r="M5" s="64"/>
      <c r="N5" s="64" t="s">
        <v>124</v>
      </c>
    </row>
    <row r="6" spans="2:14" x14ac:dyDescent="0.3">
      <c r="B6" s="63" t="s">
        <v>10</v>
      </c>
      <c r="C6" s="64">
        <v>5</v>
      </c>
      <c r="D6" s="64"/>
      <c r="E6" s="64"/>
      <c r="F6" s="64"/>
      <c r="G6" s="64"/>
      <c r="H6" s="64"/>
      <c r="I6" s="64"/>
      <c r="J6" s="64" t="s">
        <v>127</v>
      </c>
      <c r="K6" s="64"/>
      <c r="L6" s="64"/>
      <c r="M6" s="64"/>
      <c r="N6" s="64" t="s">
        <v>128</v>
      </c>
    </row>
    <row r="7" spans="2:14" x14ac:dyDescent="0.3">
      <c r="B7" s="63" t="s">
        <v>10</v>
      </c>
      <c r="C7" s="64">
        <v>6</v>
      </c>
      <c r="D7" s="64"/>
      <c r="E7" s="64"/>
      <c r="F7" s="64"/>
      <c r="G7" s="64"/>
      <c r="H7" s="64"/>
      <c r="I7" s="64"/>
      <c r="J7" s="64" t="s">
        <v>130</v>
      </c>
      <c r="K7" s="64"/>
      <c r="L7" s="64"/>
      <c r="M7" s="64"/>
      <c r="N7" s="64" t="s">
        <v>129</v>
      </c>
    </row>
    <row r="8" spans="2:14" x14ac:dyDescent="0.3">
      <c r="B8" s="63" t="s">
        <v>10</v>
      </c>
      <c r="C8" s="64">
        <v>7</v>
      </c>
      <c r="D8" s="64"/>
      <c r="E8" s="64"/>
      <c r="F8" s="64"/>
      <c r="G8" s="64"/>
      <c r="H8" s="64"/>
      <c r="I8" s="64"/>
      <c r="J8" s="64" t="s">
        <v>132</v>
      </c>
      <c r="K8" s="64"/>
      <c r="L8" s="64"/>
      <c r="M8" s="64"/>
      <c r="N8" s="64" t="s">
        <v>131</v>
      </c>
    </row>
    <row r="9" spans="2:14" x14ac:dyDescent="0.3">
      <c r="B9" s="63" t="s">
        <v>10</v>
      </c>
      <c r="C9" s="64">
        <v>8</v>
      </c>
      <c r="D9" s="64"/>
      <c r="E9" s="64"/>
      <c r="F9" s="64"/>
      <c r="G9" s="64"/>
      <c r="H9" s="64"/>
      <c r="I9" s="64"/>
      <c r="J9" s="64" t="s">
        <v>132</v>
      </c>
      <c r="K9" s="64"/>
      <c r="L9" s="64"/>
      <c r="M9" s="64"/>
      <c r="N9" s="64" t="s">
        <v>133</v>
      </c>
    </row>
    <row r="10" spans="2:14" x14ac:dyDescent="0.3">
      <c r="B10" s="63" t="s">
        <v>10</v>
      </c>
      <c r="C10" s="64">
        <v>9</v>
      </c>
      <c r="D10" s="64"/>
      <c r="E10" s="64"/>
      <c r="F10" s="64"/>
      <c r="G10" s="64"/>
      <c r="H10" s="64"/>
      <c r="I10" s="64"/>
      <c r="J10" s="64" t="s">
        <v>135</v>
      </c>
      <c r="K10" s="64"/>
      <c r="L10" s="64"/>
      <c r="M10" s="64"/>
      <c r="N10" s="64" t="s">
        <v>134</v>
      </c>
    </row>
    <row r="11" spans="2:14" x14ac:dyDescent="0.3">
      <c r="B11" s="63" t="s">
        <v>10</v>
      </c>
      <c r="C11" s="64">
        <v>10</v>
      </c>
      <c r="D11" s="64"/>
      <c r="E11" s="64"/>
      <c r="F11" s="64"/>
      <c r="G11" s="64"/>
      <c r="H11" s="64"/>
      <c r="I11" s="64"/>
      <c r="J11" s="64" t="s">
        <v>135</v>
      </c>
      <c r="K11" s="64"/>
      <c r="L11" s="64"/>
      <c r="M11" s="64"/>
      <c r="N11" s="64" t="s">
        <v>136</v>
      </c>
    </row>
    <row r="12" spans="2:14" x14ac:dyDescent="0.3">
      <c r="B12" s="63" t="s">
        <v>10</v>
      </c>
      <c r="C12" s="64">
        <v>11</v>
      </c>
      <c r="D12" s="64"/>
      <c r="E12" s="64"/>
      <c r="F12" s="64"/>
      <c r="G12" s="64"/>
      <c r="H12" s="64"/>
      <c r="I12" s="64"/>
      <c r="J12" s="64" t="s">
        <v>138</v>
      </c>
      <c r="K12" s="64"/>
      <c r="L12" s="64"/>
      <c r="M12" s="64"/>
      <c r="N12" s="64" t="s">
        <v>137</v>
      </c>
    </row>
  </sheetData>
  <hyperlinks>
    <hyperlink ref="J4" r:id="rId1" xr:uid="{7BCF5F08-782A-4BC6-9494-7389DE867279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topLeftCell="F1" workbookViewId="0">
      <selection activeCell="N5" sqref="N5:N16"/>
    </sheetView>
  </sheetViews>
  <sheetFormatPr defaultColWidth="9" defaultRowHeight="14.4" x14ac:dyDescent="0.3"/>
  <cols>
    <col min="1" max="1" width="44.109375" customWidth="1"/>
  </cols>
  <sheetData>
    <row r="1" spans="1:14" x14ac:dyDescent="0.3">
      <c r="A1" t="s">
        <v>180</v>
      </c>
    </row>
    <row r="3" spans="1:14" x14ac:dyDescent="0.3">
      <c r="A3" t="s">
        <v>200</v>
      </c>
      <c r="G3" t="s">
        <v>202</v>
      </c>
      <c r="N3" t="s">
        <v>201</v>
      </c>
    </row>
    <row r="4" spans="1:14" ht="69" x14ac:dyDescent="0.3">
      <c r="A4" s="21" t="s">
        <v>194</v>
      </c>
      <c r="B4" s="21" t="s">
        <v>195</v>
      </c>
      <c r="C4" s="21" t="s">
        <v>113</v>
      </c>
      <c r="D4" s="21" t="s">
        <v>197</v>
      </c>
      <c r="E4" s="21" t="s">
        <v>199</v>
      </c>
      <c r="F4" s="21" t="s">
        <v>198</v>
      </c>
      <c r="G4" s="21" t="s">
        <v>35</v>
      </c>
      <c r="H4" s="22" t="s">
        <v>38</v>
      </c>
      <c r="I4" s="23" t="s">
        <v>69</v>
      </c>
      <c r="J4" s="23" t="s">
        <v>114</v>
      </c>
      <c r="K4" s="23" t="s">
        <v>115</v>
      </c>
      <c r="L4" s="23" t="s">
        <v>116</v>
      </c>
      <c r="M4" s="24"/>
      <c r="N4" s="23" t="s">
        <v>35</v>
      </c>
    </row>
    <row r="5" spans="1:14" x14ac:dyDescent="0.3">
      <c r="A5" s="64" t="s">
        <v>117</v>
      </c>
      <c r="B5" s="64">
        <v>2020</v>
      </c>
      <c r="C5" s="64" t="s">
        <v>118</v>
      </c>
      <c r="D5" s="64" t="s">
        <v>37</v>
      </c>
      <c r="E5" s="64" t="s">
        <v>119</v>
      </c>
      <c r="F5" s="64" t="s">
        <v>120</v>
      </c>
      <c r="G5" s="64">
        <v>7.0000000000000007E-2</v>
      </c>
      <c r="H5" s="64">
        <v>1</v>
      </c>
      <c r="I5" s="64" t="s">
        <v>37</v>
      </c>
      <c r="J5" s="64" t="s">
        <v>121</v>
      </c>
      <c r="K5" s="64" t="s">
        <v>122</v>
      </c>
      <c r="L5" s="64"/>
      <c r="M5" s="24"/>
      <c r="N5">
        <f>1-G5</f>
        <v>0.92999999999999994</v>
      </c>
    </row>
    <row r="6" spans="1:14" x14ac:dyDescent="0.3">
      <c r="A6" s="64" t="s">
        <v>117</v>
      </c>
      <c r="B6" s="64">
        <v>2060</v>
      </c>
      <c r="C6" s="64" t="s">
        <v>118</v>
      </c>
      <c r="D6" s="24" t="s">
        <v>196</v>
      </c>
      <c r="E6" s="64" t="s">
        <v>119</v>
      </c>
      <c r="F6" s="64" t="s">
        <v>120</v>
      </c>
      <c r="G6" s="64">
        <v>0.05</v>
      </c>
      <c r="H6" s="64">
        <v>1</v>
      </c>
      <c r="I6" s="64" t="s">
        <v>37</v>
      </c>
      <c r="J6" s="64" t="s">
        <v>121</v>
      </c>
      <c r="K6" s="64" t="s">
        <v>123</v>
      </c>
      <c r="L6" s="64"/>
      <c r="M6" s="24"/>
      <c r="N6" s="76">
        <f t="shared" ref="N6:N16" si="0">1-G6</f>
        <v>0.95</v>
      </c>
    </row>
    <row r="7" spans="1:14" x14ac:dyDescent="0.3">
      <c r="A7" s="64" t="s">
        <v>124</v>
      </c>
      <c r="B7" s="64">
        <v>2015</v>
      </c>
      <c r="C7" s="64" t="s">
        <v>125</v>
      </c>
      <c r="D7" s="64" t="s">
        <v>37</v>
      </c>
      <c r="E7" s="64" t="s">
        <v>119</v>
      </c>
      <c r="F7" s="64" t="s">
        <v>120</v>
      </c>
      <c r="G7" s="64">
        <v>0.03</v>
      </c>
      <c r="H7" s="64">
        <v>1</v>
      </c>
      <c r="I7" s="64" t="s">
        <v>37</v>
      </c>
      <c r="J7" s="64" t="s">
        <v>126</v>
      </c>
      <c r="K7" s="64"/>
      <c r="L7" s="64" t="s">
        <v>127</v>
      </c>
      <c r="M7" s="24"/>
      <c r="N7" s="76">
        <f t="shared" si="0"/>
        <v>0.97</v>
      </c>
    </row>
    <row r="8" spans="1:14" x14ac:dyDescent="0.3">
      <c r="A8" s="64" t="s">
        <v>128</v>
      </c>
      <c r="B8" s="64">
        <v>2015</v>
      </c>
      <c r="C8" s="64" t="s">
        <v>125</v>
      </c>
      <c r="D8" s="64" t="s">
        <v>37</v>
      </c>
      <c r="E8" s="64" t="s">
        <v>119</v>
      </c>
      <c r="F8" s="64" t="s">
        <v>120</v>
      </c>
      <c r="G8" s="64">
        <v>0.03</v>
      </c>
      <c r="H8" s="64">
        <v>1</v>
      </c>
      <c r="I8" s="64" t="s">
        <v>37</v>
      </c>
      <c r="J8" s="64" t="s">
        <v>126</v>
      </c>
      <c r="K8" s="64"/>
      <c r="L8" s="64" t="s">
        <v>127</v>
      </c>
      <c r="M8" s="24"/>
      <c r="N8" s="76">
        <f t="shared" si="0"/>
        <v>0.97</v>
      </c>
    </row>
    <row r="9" spans="1:14" x14ac:dyDescent="0.3">
      <c r="A9" s="64" t="s">
        <v>129</v>
      </c>
      <c r="B9" s="64">
        <v>2015</v>
      </c>
      <c r="C9" s="64" t="s">
        <v>125</v>
      </c>
      <c r="D9" s="64" t="s">
        <v>37</v>
      </c>
      <c r="E9" s="64" t="s">
        <v>119</v>
      </c>
      <c r="F9" s="64" t="s">
        <v>120</v>
      </c>
      <c r="G9" s="64">
        <v>0.1</v>
      </c>
      <c r="H9" s="64">
        <v>1</v>
      </c>
      <c r="I9" s="64" t="s">
        <v>37</v>
      </c>
      <c r="J9" s="64" t="s">
        <v>126</v>
      </c>
      <c r="K9" s="64"/>
      <c r="L9" s="64" t="s">
        <v>130</v>
      </c>
      <c r="M9" s="24"/>
      <c r="N9" s="76">
        <f t="shared" si="0"/>
        <v>0.9</v>
      </c>
    </row>
    <row r="10" spans="1:14" x14ac:dyDescent="0.3">
      <c r="A10" s="64" t="s">
        <v>131</v>
      </c>
      <c r="B10" s="64">
        <v>2015</v>
      </c>
      <c r="C10" s="64" t="s">
        <v>125</v>
      </c>
      <c r="D10" s="64" t="s">
        <v>37</v>
      </c>
      <c r="E10" s="64" t="s">
        <v>119</v>
      </c>
      <c r="F10" s="64" t="s">
        <v>120</v>
      </c>
      <c r="G10" s="64">
        <v>0.1</v>
      </c>
      <c r="H10" s="64">
        <v>1</v>
      </c>
      <c r="I10" s="64" t="s">
        <v>37</v>
      </c>
      <c r="J10" s="64" t="s">
        <v>126</v>
      </c>
      <c r="K10" s="64"/>
      <c r="L10" s="64" t="s">
        <v>132</v>
      </c>
      <c r="M10" s="24"/>
      <c r="N10" s="76">
        <f t="shared" si="0"/>
        <v>0.9</v>
      </c>
    </row>
    <row r="11" spans="1:14" x14ac:dyDescent="0.3">
      <c r="A11" s="64" t="s">
        <v>133</v>
      </c>
      <c r="B11" s="64">
        <v>2015</v>
      </c>
      <c r="C11" s="64" t="s">
        <v>125</v>
      </c>
      <c r="D11" s="64" t="s">
        <v>37</v>
      </c>
      <c r="E11" s="64" t="s">
        <v>119</v>
      </c>
      <c r="F11" s="64" t="s">
        <v>120</v>
      </c>
      <c r="G11" s="64">
        <v>0.1</v>
      </c>
      <c r="H11" s="64">
        <v>1</v>
      </c>
      <c r="I11" s="64" t="s">
        <v>37</v>
      </c>
      <c r="J11" s="64" t="s">
        <v>126</v>
      </c>
      <c r="K11" s="64"/>
      <c r="L11" s="64" t="s">
        <v>132</v>
      </c>
      <c r="M11" s="24"/>
      <c r="N11" s="76">
        <f t="shared" si="0"/>
        <v>0.9</v>
      </c>
    </row>
    <row r="12" spans="1:14" x14ac:dyDescent="0.3">
      <c r="A12" s="64" t="s">
        <v>134</v>
      </c>
      <c r="B12" s="64">
        <v>2015</v>
      </c>
      <c r="C12" s="64" t="s">
        <v>125</v>
      </c>
      <c r="D12" s="64" t="s">
        <v>37</v>
      </c>
      <c r="E12" s="64" t="s">
        <v>119</v>
      </c>
      <c r="F12" s="64" t="s">
        <v>120</v>
      </c>
      <c r="G12" s="64">
        <v>0.05</v>
      </c>
      <c r="H12" s="64">
        <v>1</v>
      </c>
      <c r="I12" s="64" t="s">
        <v>37</v>
      </c>
      <c r="J12" s="64" t="s">
        <v>126</v>
      </c>
      <c r="K12" s="64"/>
      <c r="L12" s="64" t="s">
        <v>135</v>
      </c>
      <c r="M12" s="24"/>
      <c r="N12" s="76">
        <f t="shared" si="0"/>
        <v>0.95</v>
      </c>
    </row>
    <row r="13" spans="1:14" x14ac:dyDescent="0.3">
      <c r="A13" s="64" t="s">
        <v>136</v>
      </c>
      <c r="B13" s="64">
        <v>2015</v>
      </c>
      <c r="C13" s="64" t="s">
        <v>125</v>
      </c>
      <c r="D13" s="64" t="s">
        <v>37</v>
      </c>
      <c r="E13" s="64" t="s">
        <v>119</v>
      </c>
      <c r="F13" s="64" t="s">
        <v>120</v>
      </c>
      <c r="G13" s="64">
        <v>0.05</v>
      </c>
      <c r="H13" s="64">
        <v>1</v>
      </c>
      <c r="I13" s="64" t="s">
        <v>37</v>
      </c>
      <c r="J13" s="64" t="s">
        <v>126</v>
      </c>
      <c r="K13" s="64"/>
      <c r="L13" s="64" t="s">
        <v>135</v>
      </c>
      <c r="M13" s="24"/>
      <c r="N13" s="76">
        <f t="shared" si="0"/>
        <v>0.95</v>
      </c>
    </row>
    <row r="14" spans="1:14" x14ac:dyDescent="0.3">
      <c r="A14" s="64" t="s">
        <v>137</v>
      </c>
      <c r="B14" s="64">
        <v>2015</v>
      </c>
      <c r="C14" s="64" t="s">
        <v>125</v>
      </c>
      <c r="D14" s="64" t="s">
        <v>37</v>
      </c>
      <c r="E14" s="64" t="s">
        <v>119</v>
      </c>
      <c r="F14" s="64" t="s">
        <v>120</v>
      </c>
      <c r="G14" s="64">
        <v>0.01</v>
      </c>
      <c r="H14" s="64">
        <v>1</v>
      </c>
      <c r="I14" s="64" t="s">
        <v>37</v>
      </c>
      <c r="J14" s="64" t="s">
        <v>126</v>
      </c>
      <c r="K14" s="64"/>
      <c r="L14" s="64" t="s">
        <v>138</v>
      </c>
      <c r="M14" s="24"/>
      <c r="N14" s="76">
        <f t="shared" si="0"/>
        <v>0.99</v>
      </c>
    </row>
    <row r="15" spans="1:14" x14ac:dyDescent="0.3">
      <c r="A15" s="64" t="s">
        <v>124</v>
      </c>
      <c r="B15" s="64">
        <v>2015</v>
      </c>
      <c r="C15" s="64" t="s">
        <v>125</v>
      </c>
      <c r="D15" s="24" t="s">
        <v>196</v>
      </c>
      <c r="E15" s="64" t="s">
        <v>119</v>
      </c>
      <c r="F15" s="64" t="s">
        <v>120</v>
      </c>
      <c r="G15" s="64">
        <v>1.4999999999999999E-2</v>
      </c>
      <c r="H15" s="64">
        <v>1</v>
      </c>
      <c r="I15" s="64" t="s">
        <v>37</v>
      </c>
      <c r="J15" s="64" t="s">
        <v>126</v>
      </c>
      <c r="K15" s="64"/>
      <c r="L15" s="64" t="s">
        <v>127</v>
      </c>
      <c r="M15" s="24"/>
      <c r="N15" s="76">
        <f t="shared" si="0"/>
        <v>0.98499999999999999</v>
      </c>
    </row>
    <row r="16" spans="1:14" x14ac:dyDescent="0.3">
      <c r="A16" s="64" t="s">
        <v>128</v>
      </c>
      <c r="B16" s="64">
        <v>2015</v>
      </c>
      <c r="C16" s="64" t="s">
        <v>125</v>
      </c>
      <c r="D16" s="24" t="s">
        <v>196</v>
      </c>
      <c r="E16" s="64" t="s">
        <v>119</v>
      </c>
      <c r="F16" s="64" t="s">
        <v>120</v>
      </c>
      <c r="G16" s="64">
        <v>1.4999999999999999E-2</v>
      </c>
      <c r="H16" s="64">
        <v>1</v>
      </c>
      <c r="I16" s="64" t="s">
        <v>37</v>
      </c>
      <c r="J16" s="64" t="s">
        <v>126</v>
      </c>
      <c r="K16" s="64"/>
      <c r="L16" s="64" t="s">
        <v>127</v>
      </c>
      <c r="M16" s="24"/>
      <c r="N16" s="76">
        <f t="shared" si="0"/>
        <v>0.98499999999999999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7C6D25-EBF2-403E-BA83-1ED64CFEC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E9F9AD-9826-4275-8CAC-04A63EEBC2EE}">
  <ds:schemaRefs>
    <ds:schemaRef ds:uri="http://schemas.microsoft.com/office/2006/metadata/properties"/>
    <ds:schemaRef ds:uri="http://schemas.microsoft.com/office/infopath/2007/PartnerControls"/>
    <ds:schemaRef ds:uri="0592d07a-1af2-4331-8b44-ea7e2815515f"/>
    <ds:schemaRef ds:uri="a4e2c5e2-cb1f-48cf-889d-fca67caa39a4"/>
  </ds:schemaRefs>
</ds:datastoreItem>
</file>

<file path=customXml/itemProps3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Hauenstein</cp:lastModifiedBy>
  <cp:revision/>
  <dcterms:created xsi:type="dcterms:W3CDTF">2006-09-16T00:00:00Z</dcterms:created>
  <dcterms:modified xsi:type="dcterms:W3CDTF">2025-03-18T10:59:20Z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