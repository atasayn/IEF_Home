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huimei/Desktop/CIRCOMOD/WP4.2/Vehicles/"/>
    </mc:Choice>
  </mc:AlternateContent>
  <xr:revisionPtr revIDLastSave="0" documentId="13_ncr:1_{9A6CDB4D-0771-8E4E-B8A4-FBEA1AEFEA59}" xr6:coauthVersionLast="47" xr6:coauthVersionMax="47" xr10:uidLastSave="{00000000-0000-0000-0000-000000000000}"/>
  <bookViews>
    <workbookView xWindow="8240" yWindow="500" windowWidth="30160" windowHeight="21900" xr2:uid="{00000000-000D-0000-FFFF-FFFF00000000}"/>
  </bookViews>
  <sheets>
    <sheet name="Cover" sheetId="1" r:id="rId1"/>
    <sheet name="Data" sheetId="6" r:id="rId2"/>
    <sheet name="log" sheetId="3" r:id="rId3"/>
    <sheet name="ref" sheetId="4" r:id="rId4"/>
    <sheet name="raw_data" sheetId="5" r:id="rId5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" i="5" l="1"/>
  <c r="R19" i="5"/>
  <c r="R9" i="5"/>
  <c r="O10" i="5"/>
  <c r="R10" i="5" s="1"/>
  <c r="O11" i="5"/>
  <c r="R11" i="5" s="1"/>
  <c r="O12" i="5"/>
  <c r="R12" i="5" s="1"/>
  <c r="O13" i="5"/>
  <c r="R13" i="5" s="1"/>
  <c r="O14" i="5"/>
  <c r="R14" i="5" s="1"/>
  <c r="O15" i="5"/>
  <c r="R15" i="5" s="1"/>
  <c r="O16" i="5"/>
  <c r="R16" i="5" s="1"/>
  <c r="O17" i="5"/>
  <c r="R17" i="5" s="1"/>
  <c r="O18" i="5"/>
  <c r="O19" i="5"/>
  <c r="O9" i="5"/>
</calcChain>
</file>

<file path=xl/sharedStrings.xml><?xml version="1.0" encoding="utf-8"?>
<sst xmlns="http://schemas.openxmlformats.org/spreadsheetml/2006/main" count="853" uniqueCount="370">
  <si>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</si>
  <si>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</si>
  <si>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</si>
  <si>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</si>
  <si>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</si>
  <si>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</si>
  <si>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</si>
  <si>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</si>
  <si>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</si>
  <si>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</si>
  <si>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D42_03_EI_EnergyIntensity</t>
  </si>
  <si>
    <t>dataset_version</t>
  </si>
  <si>
    <t>Format_Version</t>
  </si>
  <si>
    <t>IEDC_V1</t>
  </si>
  <si>
    <t>Grouping</t>
  </si>
  <si>
    <t>datagroup_id</t>
  </si>
  <si>
    <t>CIRCOMOD_D4.2_Product_Module</t>
  </si>
  <si>
    <t>Dataset_Unit</t>
  </si>
  <si>
    <t>LIST</t>
  </si>
  <si>
    <t>data_category</t>
  </si>
  <si>
    <t>Dataset_Uncertainty</t>
  </si>
  <si>
    <t>data_type</t>
  </si>
  <si>
    <t>Dataset_Comment</t>
  </si>
  <si>
    <t>data_layer</t>
  </si>
  <si>
    <t>Misc. physical units</t>
  </si>
  <si>
    <t>Dataset_RecordType</t>
  </si>
  <si>
    <t>No_Rows</t>
  </si>
  <si>
    <t>System location: What elements and objects in the system are described?</t>
  </si>
  <si>
    <t>process_scope</t>
  </si>
  <si>
    <t>product manufacturing processes</t>
  </si>
  <si>
    <t>Aspects_classifications</t>
  </si>
  <si>
    <t>Aspects_Attribute_No</t>
  </si>
  <si>
    <t>DATA</t>
  </si>
  <si>
    <t>DATA_Info</t>
  </si>
  <si>
    <t>process_resolution</t>
  </si>
  <si>
    <t>project-wide commodity production/treatment processes</t>
  </si>
  <si>
    <t>value</t>
  </si>
  <si>
    <t>product_scope</t>
  </si>
  <si>
    <t>product</t>
  </si>
  <si>
    <t>product_resolution</t>
  </si>
  <si>
    <t>project-wide product</t>
  </si>
  <si>
    <t>material_scope</t>
  </si>
  <si>
    <t>engineering material, product</t>
  </si>
  <si>
    <t>comment</t>
  </si>
  <si>
    <t>material_resolution</t>
  </si>
  <si>
    <t>project-wide material and waste groups</t>
  </si>
  <si>
    <t>regional_scope</t>
  </si>
  <si>
    <t>idec_2</t>
  </si>
  <si>
    <t>regional_resolution</t>
  </si>
  <si>
    <t>country average</t>
  </si>
  <si>
    <t>temporal_scope</t>
  </si>
  <si>
    <t>1970-2100</t>
  </si>
  <si>
    <t>temporal_resolution</t>
  </si>
  <si>
    <t>product specific</t>
  </si>
  <si>
    <t>Description</t>
  </si>
  <si>
    <t>description</t>
  </si>
  <si>
    <t>Per unit-of-output energy demand of the different processes</t>
  </si>
  <si>
    <t>keywords</t>
  </si>
  <si>
    <t>product production; energy intensity; unit process;</t>
  </si>
  <si>
    <t>data_provenance</t>
  </si>
  <si>
    <t>dataset_size</t>
  </si>
  <si>
    <t>[filled in later]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</si>
  <si>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</si>
  <si>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</si>
  <si>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</si>
  <si>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</si>
  <si>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</si>
  <si>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</si>
  <si>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</si>
  <si>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</si>
  <si>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</si>
  <si>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</si>
  <si>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</si>
  <si>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</si>
  <si>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</si>
  <si>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</si>
  <si>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uncertainy info</t>
  </si>
  <si>
    <t>aspect_7_classification</t>
  </si>
  <si>
    <t>aspect_8</t>
  </si>
  <si>
    <t>none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</si>
  <si>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</si>
  <si>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</si>
  <si>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</si>
  <si>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</si>
  <si>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</si>
  <si>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</si>
  <si>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</si>
  <si>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</si>
  <si>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</si>
  <si>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</si>
  <si>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Value(p,b,q,f,Q,L)</t>
  </si>
  <si>
    <t>semantic_string_example</t>
  </si>
  <si>
    <t>Per unit-of-output energy demand of the different processes. Ex: Ext(Electricity demand, aluminium smelting, Brazil, 2020) = 13.5 GJ/ton</t>
  </si>
  <si>
    <t>semantic_string_general</t>
  </si>
  <si>
    <t>[Layer] of [energy carriers] in producing [product_type] in [manufacturing process] in [year of producing] in [region] for [CE strategy] is [value].</t>
  </si>
  <si>
    <t>Data access and licence</t>
  </si>
  <si>
    <t>type_of_source</t>
  </si>
  <si>
    <t>Misc.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</si>
  <si>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</si>
  <si>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</si>
  <si>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</si>
  <si>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</si>
  <si>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</si>
  <si>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</si>
  <si>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</si>
  <si>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</si>
  <si>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</si>
  <si>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</si>
  <si>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</si>
  <si>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</si>
  <si>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Meng Jiang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</si>
  <si>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</si>
  <si>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</si>
  <si>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</si>
  <si>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</si>
  <si>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</si>
  <si>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</si>
  <si>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</si>
  <si>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</si>
  <si>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</si>
  <si>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</si>
  <si>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</si>
  <si>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region</t>
  </si>
  <si>
    <t>link to log entry</t>
  </si>
  <si>
    <t>Data source</t>
  </si>
  <si>
    <t>production of PHEV from engineering materials</t>
  </si>
  <si>
    <t>Electricity</t>
  </si>
  <si>
    <t>Vehicle</t>
  </si>
  <si>
    <t>energy</t>
  </si>
  <si>
    <t>GJ/item</t>
  </si>
  <si>
    <t>example_1</t>
  </si>
  <si>
    <t>production of ICEV from engineering materials</t>
  </si>
  <si>
    <t>Energy (elec. + fuels), manufacture and assembly</t>
  </si>
  <si>
    <t>ICEV Car</t>
  </si>
  <si>
    <t>-</t>
  </si>
  <si>
    <t>Entry_1</t>
  </si>
  <si>
    <t>production of HEV from engineering materials</t>
  </si>
  <si>
    <t>production of BEV from engineering materials</t>
  </si>
  <si>
    <t>Energy (elec. + fuels), mining/prod, manufacture and assembly</t>
  </si>
  <si>
    <t>United States of America</t>
  </si>
  <si>
    <t>Entry_2</t>
  </si>
  <si>
    <t>production of FCV from engineering materials</t>
  </si>
  <si>
    <t>LD</t>
  </si>
  <si>
    <t>Entry_3</t>
  </si>
  <si>
    <t>Energy (elec. + fuels), mining/production</t>
  </si>
  <si>
    <t xml:space="preserve">Energy (elec. + fuels), part manufacture </t>
  </si>
  <si>
    <t>Energy (elec. + fuels), mining/prod, vehicle assembly</t>
  </si>
  <si>
    <t>Energy</t>
  </si>
  <si>
    <t>European Union</t>
  </si>
  <si>
    <t>Entry_4</t>
  </si>
  <si>
    <t>production of passenger car from engineering material</t>
  </si>
  <si>
    <t>production of vehicle from engineering material</t>
  </si>
  <si>
    <t>Energy, total</t>
  </si>
  <si>
    <t>Entry_5</t>
  </si>
  <si>
    <t>Fuel</t>
  </si>
  <si>
    <t>1, 2</t>
  </si>
  <si>
    <t>production of transport equipment</t>
  </si>
  <si>
    <t>ntnu_exiobase_output_energy_inputs</t>
  </si>
  <si>
    <t>ntnu_exiobase_output_Emission_Relevant_Energy_Carrier</t>
  </si>
  <si>
    <t>ntnu_exiobase_output_Energy_Carrier_Supply</t>
  </si>
  <si>
    <t>ntnu_exiobase_output_Energy_Carrier_Use</t>
  </si>
  <si>
    <t>Log entry name (link to column L on Data sheet)</t>
  </si>
  <si>
    <t>Which process? (check CM_1: material_processing_technologies for existing labels, link to column A on Data sheet)</t>
  </si>
  <si>
    <t>Which energy carriers? (check CM_4: flow_categories, link to column B on Data sheet)</t>
  </si>
  <si>
    <t>Date</t>
  </si>
  <si>
    <t>Who</t>
  </si>
  <si>
    <t>What - detailed description</t>
  </si>
  <si>
    <t>List items of ref sheet used</t>
  </si>
  <si>
    <t>Part of 08.11 (Quarrying of ornamental and building stone, limestone, gypsum, chalk and slate)</t>
  </si>
  <si>
    <t>Meng Jiang</t>
  </si>
  <si>
    <t>added sample data for demonstration purposes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</si>
  <si>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</si>
  <si>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</si>
  <si>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</si>
  <si>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dataset x</t>
  </si>
  <si>
    <t>Tbd.</t>
  </si>
  <si>
    <t>Qualitative evaluation of the data</t>
  </si>
  <si>
    <t>younis</t>
  </si>
  <si>
    <t>Energy intensity of vehicle manufacturing and assembly for various powertrains</t>
  </si>
  <si>
    <t>Primary energy intensity of vehicle manufacturing and assembly, including breakdown by productive phase, for ICEV</t>
  </si>
  <si>
    <t>energy consumption during car production, statistics of the European Automobile Manufacturers' Association</t>
  </si>
  <si>
    <t>Unit conversion factor 1 MWh = 3.6 GJ.</t>
  </si>
  <si>
    <t>energy consumption during vehicle production, literature review</t>
  </si>
  <si>
    <t xml:space="preserve">Data reported by references based on their reviews of previous studies. Years of original publicatios taken as a proxy for the years of producing. </t>
  </si>
  <si>
    <t>total</t>
  </si>
  <si>
    <t>Energy Inputs from Nature: Total (TJ), 49 regions, 1995-2022, Motor vehicles, trailers and semi-trailers and Other transport equipment (35)</t>
  </si>
  <si>
    <t>Dataset</t>
  </si>
  <si>
    <t>literature_id</t>
  </si>
  <si>
    <t>data source name/type/report</t>
  </si>
  <si>
    <t>authors</t>
  </si>
  <si>
    <t>title</t>
  </si>
  <si>
    <t>year</t>
  </si>
  <si>
    <t>journal_outlet_institution</t>
  </si>
  <si>
    <t>city</t>
  </si>
  <si>
    <t>DOI (for papers) and checksum (MD5) for datasets and scripts and URL</t>
  </si>
  <si>
    <t>URL or link to document, name of document</t>
  </si>
  <si>
    <t>copyright</t>
  </si>
  <si>
    <t>archive location</t>
  </si>
  <si>
    <t>notes</t>
  </si>
  <si>
    <t>report</t>
  </si>
  <si>
    <t>Sullivan, J.L., Burnham, A., and Wang, M.</t>
  </si>
  <si>
    <t>thesis</t>
  </si>
  <si>
    <t>Raykar, Sumant</t>
  </si>
  <si>
    <t>Analysis of Energy Use and Carbon Emissions from Automobile Manufacturing</t>
  </si>
  <si>
    <t>Massachusetts Institute of Technology (MIT)</t>
  </si>
  <si>
    <t>Cambridge, MA, United States of America</t>
  </si>
  <si>
    <t>https://dspace.mit.edu/handle/1721.1/100098</t>
  </si>
  <si>
    <t>journal article</t>
  </si>
  <si>
    <t>Sato, F.E.K. and Nakata, T.</t>
  </si>
  <si>
    <t>Energy Consumption Analysis for Vehicle Production
through a Material Flow Approach</t>
  </si>
  <si>
    <t>energies, MDPI</t>
  </si>
  <si>
    <t>https://doi.org/10.3390/en13092396</t>
  </si>
  <si>
    <t>website</t>
  </si>
  <si>
    <t>ACEA</t>
  </si>
  <si>
    <t>Energy consumption during car production in the EU</t>
  </si>
  <si>
    <t>European Automobile Manufacturers' Association</t>
  </si>
  <si>
    <t>Brussels</t>
  </si>
  <si>
    <t>https://www.acea.auto/figure/energy-consumption-during-car-production-in-eu/</t>
  </si>
  <si>
    <t>Raw tables/data could be directly pasted here :)</t>
  </si>
  <si>
    <t>Table 1 from Sullivan et al. 2015</t>
  </si>
  <si>
    <t>Table A.1 from Raykar (2015)</t>
  </si>
  <si>
    <t>MWh</t>
  </si>
  <si>
    <t>GJ</t>
  </si>
  <si>
    <t>BMW</t>
  </si>
  <si>
    <t>Daimler</t>
  </si>
  <si>
    <t>Fiat</t>
  </si>
  <si>
    <t>Ford</t>
  </si>
  <si>
    <t>GM</t>
  </si>
  <si>
    <t>Honda</t>
  </si>
  <si>
    <t>Hyundai</t>
  </si>
  <si>
    <t>Nissan</t>
  </si>
  <si>
    <t>Rinault</t>
  </si>
  <si>
    <t>Toyota</t>
  </si>
  <si>
    <t>Volkswagen</t>
  </si>
  <si>
    <t>kwh/vehicle</t>
  </si>
  <si>
    <t>purchased electricity in 2012</t>
  </si>
  <si>
    <t>Daimler includes trucks and heavy commercial vehicles</t>
  </si>
  <si>
    <t>GJ/vehicle</t>
  </si>
  <si>
    <t>Fuel GJ/vehicle</t>
  </si>
  <si>
    <t>VW fuel only for a few of its german plants. Lower than what might be expected</t>
  </si>
  <si>
    <t>Energy for components</t>
  </si>
  <si>
    <t>Energy for assembly, disposal and recycling</t>
  </si>
  <si>
    <t>Energy for batteries</t>
  </si>
  <si>
    <t>Energy for fluids</t>
  </si>
  <si>
    <t>Primary energy intensity of vehicle manufacturing and assembly, including components, ADR (assembly, disposal and recycling), fluids and batteries, for various powertrains, including a light-weight design scenario.</t>
  </si>
  <si>
    <t>production of Volkswagen XL1 from engineering materials</t>
  </si>
  <si>
    <t>Energy for materials</t>
  </si>
  <si>
    <t>Energy for manufacturing</t>
  </si>
  <si>
    <t>Energy for assembly</t>
  </si>
  <si>
    <t>Energy (total manufacturing)</t>
  </si>
  <si>
    <t>Energy, use phase</t>
  </si>
  <si>
    <t>Lifecycle energy use, vehicle operation</t>
  </si>
  <si>
    <t>Lifecycle energy use, vehicle cycle</t>
  </si>
  <si>
    <t>Lifecycle energy use, well-to-pump</t>
  </si>
  <si>
    <t>Model for the Part Manufacturing and Vehicle Assembly Component of the Vehicle Life Cycle Inventory</t>
  </si>
  <si>
    <t>Journal of Industrial Ecology</t>
  </si>
  <si>
    <t>DOI of the report doi:10.2172/993394</t>
  </si>
  <si>
    <t>DOI: 10.1111/j.1530-9290.2012.00515.x</t>
  </si>
  <si>
    <t>URL of the report published in 2010 https://publications.anl.gov/anlpubs/2010/10/68288.pdf</t>
  </si>
  <si>
    <t>Fuels for material transformation, base load</t>
  </si>
  <si>
    <t>Electricity for material transformation, base load</t>
  </si>
  <si>
    <t>Fuels for material transformation, process energy</t>
  </si>
  <si>
    <t>Electricity for material transformation, process energy</t>
  </si>
  <si>
    <t>Energy for material production (subtotal)</t>
  </si>
  <si>
    <t>Energy for material transformation (subtotal)</t>
  </si>
  <si>
    <t>Electricity for vehicle assembly, base load</t>
  </si>
  <si>
    <t>Fuels for vehicle assembly, process energy</t>
  </si>
  <si>
    <t>Fuels for vehicle assembly, base load</t>
  </si>
  <si>
    <t>Electricity for vehicle assembly, process energy</t>
  </si>
  <si>
    <t>Energy for vehicle assembly (subtotal)</t>
  </si>
  <si>
    <t>Energy for material production, transformation and vehicle assembly (total)</t>
  </si>
  <si>
    <t>production of generic vehicle from engineering materials</t>
  </si>
  <si>
    <t>table 5.7 from Raykar 2015 page 85. showing a detailed breakdown of the base load and process energy for the assembly stage</t>
  </si>
  <si>
    <t>numbers slightly differ than the subtotals reported in the later chapter</t>
  </si>
  <si>
    <t>1, 3</t>
  </si>
  <si>
    <t>Argonne National Laboratory</t>
  </si>
  <si>
    <t xml:space="preserve">Energy-Consumption and Carbon-Emission Analysis of Vehicle and Component Manufacturing </t>
  </si>
  <si>
    <t>3;33.125;2.343;none;none;none</t>
  </si>
  <si>
    <t>Of which 77% metal transformations (of which &gt;75% casting, extruding and forging, with aluminium and iron casting constituting &gt;50% of that), 19% polymer processing, and 4% glass production. .generic vehicle, mass 1532 kg</t>
  </si>
  <si>
    <t>HEV Car, battery only</t>
  </si>
  <si>
    <t>HEV Car, incl. battery</t>
  </si>
  <si>
    <t>production of HEV from engineering materials, advanced battery only</t>
  </si>
  <si>
    <t>production of PHEV from engineering materials, advanced battery only</t>
  </si>
  <si>
    <t>PHEV Car 20, excl. battery</t>
  </si>
  <si>
    <t>PHEV Car 20, battery only</t>
  </si>
  <si>
    <t>PHEV Car 20, incl. battery</t>
  </si>
  <si>
    <t>HEV Car, excl. battery</t>
  </si>
  <si>
    <t>PHEV Car 40, excl. battery</t>
  </si>
  <si>
    <t>PHEV Car 40, battery only</t>
  </si>
  <si>
    <t>PHEV Car 40, incl. battery</t>
  </si>
  <si>
    <t>production of BEV from engineering materials, advanced battery only</t>
  </si>
  <si>
    <t>production of ICEV from engineering materials (a), material transformation</t>
  </si>
  <si>
    <t>production of ICEV from engineering materials (a), machining</t>
  </si>
  <si>
    <t>production of ICEV from engineering materials (a), vehicle painting</t>
  </si>
  <si>
    <t>production of ICEV from engineering materials (a), HVAC &amp; lighting</t>
  </si>
  <si>
    <t>production of ICEV from engineering materials (a), heating</t>
  </si>
  <si>
    <t>production of ICEV from engineering materials (a), material handling</t>
  </si>
  <si>
    <t>production of ICEV from engineering materials (a), welding</t>
  </si>
  <si>
    <t>production of ICEV from engineering materials (a), compressed air</t>
  </si>
  <si>
    <t>production of ICEV from engineering materials (USAMP), part manufacturing and vehicle assembly</t>
  </si>
  <si>
    <t>production of ICEV from engineering materials (a), part manufacturing and vehicle assembly (total)</t>
  </si>
  <si>
    <t>production of ICEV from engineering materials (b), part manufacturing and vehicle assembly</t>
  </si>
  <si>
    <t>production of HEV from engineering materials, part manufacturing and vehicle assembly, excluding battery</t>
  </si>
  <si>
    <t>production of HEV from engineering materials, part manufacturing and vehicle assembly, including battery</t>
  </si>
  <si>
    <t>production of PHEV from engineering materials, part manufacturing and vehicle assembly, excluding battery</t>
  </si>
  <si>
    <t>production of PHEV from engineering materials, part manufacturing and vehicle assembly, including battery</t>
  </si>
  <si>
    <t>production of BEV from engineering materials, part manufacturing and vehicle assembly, excluding battery</t>
  </si>
  <si>
    <t>production of BEV from engineering materials, part manufacturing and vehicle assembly, including battery</t>
  </si>
  <si>
    <t>production of ICEV from engineering materials (EU), part manufacturing and vehicle assembly</t>
  </si>
  <si>
    <t>production of ICEV from engineering materials (GREET), part manufacturing and vehicle assembly</t>
  </si>
  <si>
    <t>production of HEV from engineering materials (GREET), part manufacturing and vehicle assembly</t>
  </si>
  <si>
    <t>production of LW-ICEV from engineering materials (GREET), part manufacturing and vehicle assembly</t>
  </si>
  <si>
    <t>production of AI-ICEV from engineering materials (GREET), part manufacturing and vehicle assembly</t>
  </si>
  <si>
    <t>HEV</t>
  </si>
  <si>
    <t>vehicle mass 1532 kg</t>
  </si>
  <si>
    <t>vehicle mass 1578 kg</t>
  </si>
  <si>
    <t>vehicle mass 1683 kg</t>
  </si>
  <si>
    <t>vehicle mass 1746 kg</t>
  </si>
  <si>
    <t>vehicle mass 1959 kg</t>
  </si>
  <si>
    <t>vehicle mass 2104 kg</t>
  </si>
  <si>
    <t>vehicle mass 1214 kg</t>
  </si>
  <si>
    <t>vehicle mass 1510 kg</t>
  </si>
  <si>
    <t>vehicle mass 1274 kg</t>
  </si>
  <si>
    <t>vehicle mass 893 kg, composite-intentisve light-weight design</t>
  </si>
  <si>
    <t>vehicle mass 1033 kg, Aluminium-intensive (AI) light-weight design</t>
  </si>
  <si>
    <t>BEV Car, excl. battery</t>
  </si>
  <si>
    <t>BEV Car, battery only</t>
  </si>
  <si>
    <t>BEV Car, incl. battery</t>
  </si>
  <si>
    <t>diesel</t>
  </si>
  <si>
    <t>compressed natural gas</t>
  </si>
  <si>
    <t>electricity</t>
  </si>
  <si>
    <t>hydrogen</t>
  </si>
  <si>
    <t>gasoline</t>
  </si>
  <si>
    <t>Intensity of operation</t>
  </si>
  <si>
    <t>https://www.tf.lbtu.lv/conference/proceedings2015/Papers/060_Graurs.pdf</t>
  </si>
  <si>
    <t>http://www.trolley-project.eu/fileadmin/user_upload/download/University/TROLLEY_Toth_SZKT_sustainable_mobility_Szeged.pdf</t>
  </si>
  <si>
    <t>https://www.revistadyna.com/Documentos/pdfs%5C2005%5C200505jun%5C891DYNAINDEX.pdf</t>
  </si>
  <si>
    <t>https://www.researchgate.net/publication/270488339_Refereed_Papers_Energy_Consumption_of_Passenger_Land_Transport_Modes#fullTextFileContent</t>
  </si>
  <si>
    <t>http://www.trolley-project.eu/fileadmin/user_upload/download/TROLLEY_WP4_Report_on_feasability_study_on_network_extension_in_Eberswalde__in_German.pdf</t>
  </si>
  <si>
    <t>https://www.sciencedirect.com/science/article/pii/S0360544217301081?casa_token=e0nEbmWBAKIAAAAA:sQ6r8cY3vjKDIrsXvVrodetgtfOmA2Zgaf7j91KFkJDScy9TI-PD2nhXLy1jNAhcQMpakX8KzAHg</t>
  </si>
  <si>
    <t>https://www.sciencedirect.com/science/article/pii/S0959652617323089?casa_token=d8SVsSwFCysAAAAA:vCStrXOnpnNsBsn51Vl_c_056WfP4c5x7J_J2xxPhD0iTkW2i3vmFVGJzYHK9RVdDHo1xmjK05oz#bib38</t>
  </si>
  <si>
    <t>https://pdf.sciencedirectassets.com/271969/1-s2.0-S1364032116X00068/1-s2.0-S1364032116301290/main.pdf?X-Amz-Security-Token=IQoJb3JpZ2luX2VjEAUaCXVzLWVhc3QtMSJHMEUCIQD%2FyUHAGBAagdUqFKp7lMFkMtMc354g7yfFaM%2Bt7FSB5QIgLfemskxABswpWAcm6pDiHv1t%2Blc%2Bcv48xgLOaZJlTTgqsgUILRAFGgwwNTkwMDM1NDY4NjUiDHRWcijE7GPPJaVVTyqPBTfurWBNVrWHKFjL1V%2FPxeQv%2B6zxLSc5biGbKM7jg6ZrEQFnA8xhHmGiNN9Ijeo3qaD2EQM7OOCLVHcyCeRs3tfoQD7ZO%2BCpF9VnitWhrj7DHxLaIwjwhdexhNytGCh1mfIKIzUE3k%2FgwR6eQBeEceZmqG1lHQDwxKYYijpTbTi2CeOJRLuxMXs%2FQ6b%2Bgzy5UgQWwHfuQk7ryT3w2u7svpqWeDvKzDJGh8qQ3Xy9gaGVIvsyBussGS%2FMAq8yqcpD0zHftlY5anEUVg9Ze3226GBg%2F2RRJBngFpEc6iHqnGBNrXS26b1DPNw9rIahERAgmVQ5nS21aSbmRBuWzLgVgLPvESb5cvbfr9nZLN7tLY1%2FdqotChLIub1LCrZgDqkL%2Bl%2FyBDBIWpEcXtgvldr0mB6uWDse17Dnss8xhw8g8GcBAs8h08SAQO%2FE2ZHJMe%2BfneEeKVkJhrpDCpmnHs7drI0kJFP9pFA%2FAcRcdA6PKNKVUzlgBg8q865Dlc3Gt3vpqhLxVo4VK6U7jC%2Fc0yO6umDAXy2ZgHI1l9Zn1RuQinimpzgTnUV7HMOYy2%2BuCmC%2F7dsReDAzAYF6FmzbRjFyTPqUQKwOzKVAC5Vl%2Br21w2aDOJdHMF8hF8eaElnKWMbLXrfb9ZD%2Bx7O6FMoaRGMZlUCfeU%2BFqjoO%2BOduzsZU9OAr1GvRynASVTEOTmHjzHjOEZT8V2yS7Js7lfMAmNHtBKfVSabCuqzKErr9tPYB4pg6xO9AI%2Fw7LwqVIQv7QWXENZEcXOqFTVoy37YT9jo1AV1Oqrkd09Go9K%2FChoWrILflX4DESVAJSEOSBKoGL7BVGps0LOACNOPuJyZ7bZLOC5iIpTbC6%2Fhm3Iym5Fh9Dngw36qlsAY6sQEks%2F%2FMkKeWvfcKI%2FtGZmJTA6%2FtLgsNvdAg0M3l5c1ESw1ep8dkGo7oIuorA8TvH0CJqug00Rn2IJjmX3RrReWnFIl2pKLMP0OYb2xXiG8owBRlietrkUmqLuDib%2BU2TjNp4l%2BFHDc1ctX9qPVJfMJ3%2FfOe%2FYCFzyZtb%2B3Bpw3liYvdBnKMzQKQjbbtqf3X0GZMCEePRF0qgQOt9jogjRK%2F6I4s3KKZ3lWfub7Wtp%2F3A2c%3D&amp;X-Amz-Algorithm=AWS4-HMAC-SHA256&amp;X-Amz-Date=20240331T134246Z&amp;X-Amz-SignedHeaders=host&amp;X-Amz-Expires=300&amp;X-Amz-Credential=ASIAQ3PHCVTYRCMRNJMA%2F20240331%2Fus-east-1%2Fs3%2Faws4_request&amp;X-Amz-Signature=d1d13746302ab3b7c9b1adac6b33a3ae396e77db3968eb26ab63b0d9878e0d08&amp;hash=78be8f039133951f340d36fa86a60e5e6971fac60e57f172cc4c8011d7ec81a2&amp;host=68042c943591013ac2b2430a89b270f6af2c76d8dfd086a07176afe7c76c2c61&amp;pii=S1364032116301290&amp;tid=spdf-15dc2a4b-2b32-414d-a8d0-e47a1708aeac&amp;sid=c984c09d89be944ccc096f66828501eaae64gxrqb&amp;type=client&amp;tsoh=d3d3LnNjaWVuY2VkaXJlY3QuY29t&amp;ua=17075f590355005605595b&amp;rr=86d0c3b988a8c720&amp;cc=ma</t>
  </si>
  <si>
    <t>https://www.sciencedirect.com/science/article/pii/S0301479712000138</t>
  </si>
  <si>
    <t>https://www.matec-conferences.org/articles/matecconf/pdf/2018/39/matecconf_met2018_02006.pdf</t>
  </si>
  <si>
    <t>https://energie.wallonie.be/servlet/Repository/spw-dgo4-energie-bilanenergetiquewallonie2016-transports-avril2018.pdf?ID=61554</t>
  </si>
  <si>
    <t>https://ars.els-cdn.com/content/image/1-s2.0-S0301421509007149-mmc1.pdf</t>
  </si>
  <si>
    <t>https://pdf.sciencedirectassets.com/271098/1-s2.0-S0196890413X00081/1-s2.0-S0196890413002835/main.pdf?X-Amz-Security-Token=IQoJb3JpZ2luX2VjEM7%2F%2F%2F%2F%2F%2F%2F%2F%2F%2FwEaCXVzLWVhc3QtMSJIMEYCIQD%2BmW1WXEViRbBDX9pXl667oR411COzx7VoMwQtQy9gsAIhAPa%2FoQsDBTXFjLRMe%2BQqvL3NaoTQ3ssDM1VjMOPPwqylKrwFCPf%2F%2F%2F%2F%2F%2F%2F%2F%2F%2FwEQBRoMMDU5MDAzNTQ2ODY1IgyQP9znTPKi%2BvP0Oh0qkAVZ7iXAqwV9I0%2B8cOPC%2FHoOi%2FjAbFfEQrTXzEGgCZp%2FZaGxu5fUgttnnI4mUCIo4ik4RHoN8ogB0aq36SlAItByoS0%2BpMLpgkItDRYiatrMdW4d1X46GoPBFQHjK4i5SFkRloUz3qS0vBRvFmYJSE%2F3lr3V5fI00lDzeJ83C3o0XZTyHT4AZlWCL3vZdCeJHIgH7PidAxPECLUXQfcmcqOiaRJFz6IeByMkEnHiSvmrE7HKVvuH6wXPoOjBI96NTFp1ZkaFWs23GHeg34obqNjASZiZwmTJF3VhIZU4yFq1PAb1UXmbm2tWkr%2FzQ9GoE9yy1guudcJRVvizhMvPrI1IVYoZxJlYC5e35ipdppO9skhZcLTQOMQFPDGmuJdm6AUg%2B6cgMdeOXPJlJCe%2B%2BmUd8YMYPzzJb7gsGgFjSIacR0AvPRwCoFi%2BOfuhzJRadLUotfXMLl7eZvwBujPwXweyE0mQ6MuC4s%2F7gikhLZ7LOmpqRXXYVxYrSv0CC5wx37UtNhyw4oJqketpFP2TAmZv94iZOzTU8F2bxGv2AB1fpUsvDd4eyhxS1PX9Gwk9T1iqnbdYDhTsanPA2wOYK%2BVwXheBza4ah735KQo0J4uu1ERk4U1noE5eXBr0gXurHXAGfFAoNi2LzJcwaM97AWJsFhbrygTOq3u0eL%2BOEcef5jA2OVAR9pQZhyg7snRFs0wwJvVHXr%2B83V45yJGoid%2Fv00pQG640wAM4rh6Fcuem2Mdm25X16LvAlNYpX6eTSJF6CbVgUCatcV1SStf1bC9a9CJLxZIDYv7Ur7alxVv3GiBEEko8VDOsCM3bj2kgg29ID05XVITAvqQLjhhwG1wLVqhW5LOD35hogeDa%2Fqlx7jCPzdGwBjqwAZ%2BsRU3y2kpjxurOfH%2B6nFKB1OPnaNsEzG1qsWGpbfYxIZpv2zvQ28VSjFbQODBAmKA77RBhjRaqVcaTQwSLJ35Jxa4Jv2ayeNfLqkfAoH3gGEVYOPMoDrIxbD6xdGxQeL4eOew3mM2sFUJKfsLt7n4krjtbNZKPo8XgZrh%2FZ%2B0%2FX05Yzq23hMOZnOG7UmLyC6L8dCfeMI8X41U5IcDEzYyXtFWc5m4Ukp%2Fa1OsKQOt5&amp;X-Amz-Algorithm=AWS4-HMAC-SHA256&amp;X-Amz-Date=20240408T222043Z&amp;X-Amz-SignedHeaders=host&amp;X-Amz-Expires=300&amp;X-Amz-Credential=ASIAQ3PHCVTY4PXVKVGK%2F20240408%2Fus-east-1%2Fs3%2Faws4_request&amp;X-Amz-Signature=ca292cb751639130920fd4d7a131950c860c2f1604f18884f23c02408cc243a7&amp;hash=cf9318ab8947c92a88e99167857dd040fc3c1a9265744df2a6da29860d57b502&amp;host=68042c943591013ac2b2430a89b270f6af2c76d8dfd086a07176afe7c76c2c61&amp;pii=S0196890413002835&amp;tid=spdf-56ab37a5-2769-4fdf-9611-79c32c69a97e&amp;sid=7219790a15272341351af242db83c3c584eagxrqb&amp;type=client&amp;tsoh=d3d3LnNjaWVuY2VkaXJlY3QuY29t&amp;ua=0b07585650540e5b5357&amp;rr=8715a5732dd17111&amp;cc=ma</t>
  </si>
  <si>
    <t>https://www.sciencedirect.com/science/article/pii/S2210670718318031#:~:text=The%20energy%20consumption%20of%20the,energy%20than%20the%20gasoline%20motorcycle.</t>
  </si>
  <si>
    <t>EI_OtherVehicles</t>
  </si>
  <si>
    <t>Energy intensity of operation, dataset from Freiburg</t>
  </si>
  <si>
    <t>none.</t>
  </si>
  <si>
    <t>https://web.archive.org/web/20070223045755/ http://www.brianmac.demon.co.uk/energyexp.htm</t>
  </si>
  <si>
    <t>https://onlinelibrary.wiley.com/doi/10.1111/jiec.12391</t>
  </si>
  <si>
    <t>6-21</t>
  </si>
  <si>
    <t>v1.0</t>
  </si>
  <si>
    <t>3_EI_Vehicles_CIRCOMOD_D4.2_2025</t>
  </si>
  <si>
    <t>energy_carrier</t>
  </si>
  <si>
    <t>strategy</t>
  </si>
  <si>
    <t>end-use sector</t>
  </si>
  <si>
    <t>layer</t>
  </si>
  <si>
    <t>process</t>
  </si>
  <si>
    <t>unit nominator</t>
  </si>
  <si>
    <t>unit denominator</t>
  </si>
  <si>
    <t>Publicly available report or research article</t>
  </si>
  <si>
    <t>miscellaneous licenses, see the comments in the dataset</t>
  </si>
  <si>
    <t>Assumption based on compilation from scientific literature and expert estimates, mass balance</t>
  </si>
  <si>
    <t>Specific energy consumption of products</t>
  </si>
  <si>
    <t>commodity</t>
  </si>
  <si>
    <t>age-cohort</t>
  </si>
  <si>
    <t>stats_array 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</si>
</sst>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DEDE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8" fillId="0" borderId="0" applyNumberFormat="0" applyFill="0" applyBorder="0" applyAlignment="0" applyProtection="0"/>
  </cellStyleXfs>
  <cellXfs count="88">
    <xf numFmtId="0" fontId="0" fillId="0" borderId="0" xfId="0"/>
    <xf numFmtId="0" fontId="0" fillId="0" borderId="0" xfId="0" quotePrefix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1" fillId="0" borderId="0" xfId="0" applyFont="1"/>
    <xf numFmtId="0" fontId="1" fillId="2" borderId="6" xfId="0" applyFont="1" applyFill="1" applyBorder="1" applyAlignment="1">
      <alignment horizontal="center"/>
    </xf>
    <xf numFmtId="0" fontId="1" fillId="2" borderId="9" xfId="0" applyFont="1" applyFill="1" applyBorder="1"/>
    <xf numFmtId="0" fontId="1" fillId="0" borderId="10" xfId="0" applyFont="1" applyBorder="1"/>
    <xf numFmtId="0" fontId="3" fillId="0" borderId="0" xfId="0" applyFont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0" xfId="0" applyFont="1"/>
    <xf numFmtId="0" fontId="2" fillId="0" borderId="10" xfId="0" applyFont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3" fillId="2" borderId="1" xfId="0" applyFont="1" applyFill="1" applyBorder="1"/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3" fillId="13" borderId="2" xfId="0" applyFont="1" applyFill="1" applyBorder="1" applyAlignment="1">
      <alignment horizontal="center"/>
    </xf>
    <xf numFmtId="0" fontId="4" fillId="0" borderId="0" xfId="0" applyFont="1"/>
    <xf numFmtId="0" fontId="1" fillId="12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1" fillId="2" borderId="4" xfId="0" applyFont="1" applyFill="1" applyBorder="1"/>
    <xf numFmtId="0" fontId="1" fillId="2" borderId="7" xfId="0" applyFont="1" applyFill="1" applyBorder="1"/>
    <xf numFmtId="0" fontId="1" fillId="2" borderId="5" xfId="0" applyFont="1" applyFill="1" applyBorder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9" xfId="0" applyFont="1" applyBorder="1"/>
    <xf numFmtId="0" fontId="0" fillId="0" borderId="1" xfId="0" applyBorder="1"/>
    <xf numFmtId="0" fontId="0" fillId="0" borderId="7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2" borderId="0" xfId="0" quotePrefix="1" applyFill="1"/>
    <xf numFmtId="0" fontId="0" fillId="2" borderId="9" xfId="0" applyFill="1" applyBorder="1"/>
    <xf numFmtId="0" fontId="0" fillId="2" borderId="0" xfId="0" applyFill="1"/>
    <xf numFmtId="14" fontId="0" fillId="0" borderId="10" xfId="0" quotePrefix="1" applyNumberFormat="1" applyBorder="1"/>
    <xf numFmtId="0" fontId="0" fillId="0" borderId="0" xfId="0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14" fontId="0" fillId="0" borderId="0" xfId="0" quotePrefix="1" applyNumberFormat="1" applyAlignment="1">
      <alignment horizontal="left"/>
    </xf>
    <xf numFmtId="0" fontId="6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7" fillId="0" borderId="5" xfId="0" applyFont="1" applyBorder="1" applyAlignment="1">
      <alignment horizontal="left"/>
    </xf>
    <xf numFmtId="0" fontId="7" fillId="0" borderId="9" xfId="0" applyFont="1" applyBorder="1"/>
    <xf numFmtId="0" fontId="2" fillId="4" borderId="8" xfId="0" applyFont="1" applyFill="1" applyBorder="1"/>
    <xf numFmtId="0" fontId="7" fillId="0" borderId="10" xfId="0" applyFont="1" applyBorder="1" applyAlignment="1">
      <alignment horizontal="left"/>
    </xf>
    <xf numFmtId="0" fontId="0" fillId="13" borderId="10" xfId="0" applyFill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wrapText="1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14" borderId="0" xfId="0" applyFont="1" applyFill="1" applyAlignment="1">
      <alignment vertical="center" wrapText="1"/>
    </xf>
    <xf numFmtId="0" fontId="1" fillId="14" borderId="0" xfId="0" applyFont="1" applyFill="1" applyAlignment="1">
      <alignment vertical="center"/>
    </xf>
    <xf numFmtId="14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3" fillId="14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left" vertical="center"/>
    </xf>
    <xf numFmtId="0" fontId="5" fillId="0" borderId="0" xfId="1"/>
    <xf numFmtId="0" fontId="8" fillId="0" borderId="0" xfId="2"/>
    <xf numFmtId="2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9" fillId="0" borderId="10" xfId="0" applyFont="1" applyBorder="1"/>
    <xf numFmtId="0" fontId="9" fillId="0" borderId="10" xfId="0" applyFont="1" applyBorder="1" applyAlignment="1">
      <alignment horizontal="left"/>
    </xf>
    <xf numFmtId="0" fontId="10" fillId="12" borderId="0" xfId="0" applyFont="1" applyFill="1" applyAlignment="1">
      <alignment horizontal="left" vertical="center" wrapText="1"/>
    </xf>
    <xf numFmtId="0" fontId="10" fillId="12" borderId="0" xfId="0" applyFont="1" applyFill="1" applyAlignment="1">
      <alignment vertical="center"/>
    </xf>
    <xf numFmtId="49" fontId="10" fillId="12" borderId="0" xfId="0" applyNumberFormat="1" applyFont="1" applyFill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0" fillId="0" borderId="0" xfId="0"/>
    <xf numFmtId="0" fontId="2" fillId="4" borderId="3" xfId="0" applyFont="1" applyFill="1" applyBorder="1" applyAlignment="1">
      <alignment horizontal="center"/>
    </xf>
    <xf numFmtId="0" fontId="0" fillId="0" borderId="9" xfId="0" applyBorder="1"/>
    <xf numFmtId="0" fontId="7" fillId="5" borderId="8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0" fillId="0" borderId="5" xfId="0" applyBorder="1"/>
  </cellXfs>
  <cellStyles count="3">
    <cellStyle name="Hyperlink" xfId="2" builtinId="8"/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colors>
    <mruColors>
      <color rgb="FFDE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3390/en13092396" TargetMode="External"/><Relationship Id="rId2" Type="http://schemas.openxmlformats.org/officeDocument/2006/relationships/hyperlink" Target="https://dspace.mit.edu/handle/1721.1/100098" TargetMode="External"/><Relationship Id="rId1" Type="http://schemas.openxmlformats.org/officeDocument/2006/relationships/hyperlink" Target="https://publications.anl.gov/anlpubs/2010/10/68288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acea.auto/figure/energy-consumption-during-car-production-in-e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zoomScaleNormal="100" workbookViewId="0">
      <selection activeCell="F27" sqref="F27"/>
    </sheetView>
  </sheetViews>
  <sheetFormatPr baseColWidth="10" defaultColWidth="9.1640625" defaultRowHeight="15" x14ac:dyDescent="0.2"/>
  <cols>
    <col min="1" max="1" width="7.1640625" customWidth="1"/>
    <col min="2" max="2" width="15.83203125" customWidth="1"/>
    <col min="3" max="3" width="23.1640625" bestFit="1" customWidth="1"/>
    <col min="4" max="4" width="46.83203125" style="19" customWidth="1"/>
    <col min="5" max="5" width="11.83203125" bestFit="1" customWidth="1"/>
    <col min="6" max="6" width="24.1640625" bestFit="1" customWidth="1"/>
    <col min="7" max="8" width="26" bestFit="1" customWidth="1"/>
    <col min="9" max="9" width="24.83203125" bestFit="1" customWidth="1"/>
    <col min="10" max="11" width="3.1640625" customWidth="1"/>
  </cols>
  <sheetData>
    <row r="1" spans="1:12" x14ac:dyDescent="0.2">
      <c r="E1" s="1"/>
      <c r="H1" s="10"/>
    </row>
    <row r="2" spans="1:12" ht="15.75" customHeight="1" x14ac:dyDescent="0.2">
      <c r="B2" s="74" t="s">
        <v>0</v>
      </c>
      <c r="C2" s="86"/>
      <c r="D2" s="87"/>
      <c r="E2" s="1"/>
      <c r="F2" s="74" t="s">
        <v>1</v>
      </c>
      <c r="G2" s="75"/>
      <c r="H2" s="75"/>
      <c r="I2" s="75"/>
      <c r="L2" s="1"/>
    </row>
    <row r="3" spans="1:12" x14ac:dyDescent="0.2">
      <c r="B3" s="29"/>
      <c r="C3" s="43" t="s">
        <v>2</v>
      </c>
      <c r="D3" s="44" t="s">
        <v>3</v>
      </c>
      <c r="E3" s="1"/>
      <c r="L3" s="1"/>
    </row>
    <row r="4" spans="1:12" x14ac:dyDescent="0.2">
      <c r="A4">
        <v>1</v>
      </c>
      <c r="B4" s="76" t="s">
        <v>4</v>
      </c>
      <c r="C4" s="45" t="s">
        <v>5</v>
      </c>
      <c r="D4" s="46" t="s">
        <v>6</v>
      </c>
      <c r="E4" s="1" t="s">
        <v>7</v>
      </c>
      <c r="F4" s="5" t="s">
        <v>8</v>
      </c>
      <c r="G4" s="30"/>
      <c r="H4" s="30"/>
      <c r="I4" s="31"/>
      <c r="L4" s="1"/>
    </row>
    <row r="5" spans="1:12" x14ac:dyDescent="0.2">
      <c r="A5">
        <v>2</v>
      </c>
      <c r="B5" s="77"/>
      <c r="C5" s="47" t="s">
        <v>9</v>
      </c>
      <c r="D5" s="70" t="s">
        <v>355</v>
      </c>
      <c r="E5" s="1" t="s">
        <v>7</v>
      </c>
      <c r="F5" s="32"/>
      <c r="I5" s="33"/>
      <c r="L5" s="1"/>
    </row>
    <row r="6" spans="1:12" x14ac:dyDescent="0.2">
      <c r="A6">
        <v>3</v>
      </c>
      <c r="B6" s="48"/>
      <c r="C6" s="47" t="s">
        <v>11</v>
      </c>
      <c r="D6" s="70" t="s">
        <v>354</v>
      </c>
      <c r="E6" s="1" t="s">
        <v>7</v>
      </c>
      <c r="F6" s="6" t="s">
        <v>12</v>
      </c>
      <c r="G6" s="34" t="s">
        <v>13</v>
      </c>
      <c r="H6" s="4"/>
      <c r="I6" s="7"/>
      <c r="L6" s="1"/>
    </row>
    <row r="7" spans="1:12" x14ac:dyDescent="0.2">
      <c r="A7">
        <v>4</v>
      </c>
      <c r="B7" s="78" t="s">
        <v>14</v>
      </c>
      <c r="C7" s="47" t="s">
        <v>15</v>
      </c>
      <c r="D7" s="9" t="s">
        <v>16</v>
      </c>
      <c r="E7" s="1" t="s">
        <v>7</v>
      </c>
      <c r="F7" s="6" t="s">
        <v>17</v>
      </c>
      <c r="G7" s="34" t="s">
        <v>18</v>
      </c>
      <c r="H7" s="8"/>
      <c r="I7" s="9"/>
      <c r="L7" s="1"/>
    </row>
    <row r="8" spans="1:12" x14ac:dyDescent="0.2">
      <c r="A8">
        <v>5</v>
      </c>
      <c r="B8" s="77"/>
      <c r="C8" s="47" t="s">
        <v>19</v>
      </c>
      <c r="D8" s="9">
        <v>4</v>
      </c>
      <c r="E8" s="1" t="s">
        <v>7</v>
      </c>
      <c r="F8" s="6" t="s">
        <v>20</v>
      </c>
      <c r="G8" s="34" t="s">
        <v>18</v>
      </c>
      <c r="H8" s="10"/>
      <c r="I8" s="11"/>
      <c r="L8" s="1"/>
    </row>
    <row r="9" spans="1:12" x14ac:dyDescent="0.2">
      <c r="A9">
        <v>6</v>
      </c>
      <c r="B9" s="77"/>
      <c r="C9" s="47" t="s">
        <v>21</v>
      </c>
      <c r="D9" s="70" t="s">
        <v>366</v>
      </c>
      <c r="E9" s="1" t="s">
        <v>7</v>
      </c>
      <c r="F9" s="6" t="s">
        <v>22</v>
      </c>
      <c r="G9" s="34" t="s">
        <v>18</v>
      </c>
      <c r="H9" s="10"/>
      <c r="I9" s="11"/>
      <c r="L9" s="1"/>
    </row>
    <row r="10" spans="1:12" x14ac:dyDescent="0.2">
      <c r="A10">
        <v>7</v>
      </c>
      <c r="B10" s="77"/>
      <c r="C10" s="47" t="s">
        <v>23</v>
      </c>
      <c r="D10" s="70" t="s">
        <v>24</v>
      </c>
      <c r="E10" s="1" t="s">
        <v>7</v>
      </c>
      <c r="F10" s="12" t="s">
        <v>25</v>
      </c>
      <c r="G10" s="13" t="s">
        <v>18</v>
      </c>
      <c r="H10" s="14" t="s">
        <v>26</v>
      </c>
      <c r="I10" s="18">
        <v>28</v>
      </c>
      <c r="L10" s="1"/>
    </row>
    <row r="11" spans="1:12" x14ac:dyDescent="0.2">
      <c r="A11">
        <v>8</v>
      </c>
      <c r="B11" s="79" t="s">
        <v>27</v>
      </c>
      <c r="C11" s="28" t="s">
        <v>28</v>
      </c>
      <c r="D11" s="49" t="s">
        <v>29</v>
      </c>
      <c r="E11" s="1" t="s">
        <v>7</v>
      </c>
      <c r="F11" s="22" t="s">
        <v>30</v>
      </c>
      <c r="G11" s="23" t="s">
        <v>31</v>
      </c>
      <c r="H11" s="23" t="s">
        <v>32</v>
      </c>
      <c r="I11" s="24" t="s">
        <v>33</v>
      </c>
      <c r="L11" s="1"/>
    </row>
    <row r="12" spans="1:12" x14ac:dyDescent="0.2">
      <c r="A12">
        <v>9</v>
      </c>
      <c r="B12" s="77"/>
      <c r="C12" s="28" t="s">
        <v>34</v>
      </c>
      <c r="D12" s="9" t="s">
        <v>35</v>
      </c>
      <c r="E12" s="1" t="s">
        <v>7</v>
      </c>
      <c r="F12" s="35" t="s">
        <v>360</v>
      </c>
      <c r="G12" s="3">
        <v>1</v>
      </c>
      <c r="H12" s="36" t="s">
        <v>36</v>
      </c>
      <c r="I12" s="37"/>
      <c r="L12" s="1"/>
    </row>
    <row r="13" spans="1:12" x14ac:dyDescent="0.2">
      <c r="A13">
        <v>10</v>
      </c>
      <c r="B13" s="77"/>
      <c r="C13" s="28" t="s">
        <v>37</v>
      </c>
      <c r="D13" s="49" t="s">
        <v>38</v>
      </c>
      <c r="E13" s="1" t="s">
        <v>7</v>
      </c>
      <c r="F13" s="35" t="s">
        <v>356</v>
      </c>
      <c r="G13" s="3">
        <v>1</v>
      </c>
      <c r="H13" s="36" t="s">
        <v>361</v>
      </c>
      <c r="I13" s="37"/>
      <c r="L13" s="1"/>
    </row>
    <row r="14" spans="1:12" x14ac:dyDescent="0.2">
      <c r="A14">
        <v>11</v>
      </c>
      <c r="B14" s="77"/>
      <c r="C14" s="28" t="s">
        <v>39</v>
      </c>
      <c r="D14" s="9" t="s">
        <v>40</v>
      </c>
      <c r="E14" s="1" t="s">
        <v>7</v>
      </c>
      <c r="F14" s="35" t="s">
        <v>367</v>
      </c>
      <c r="G14" s="3">
        <v>1</v>
      </c>
      <c r="H14" s="36" t="s">
        <v>362</v>
      </c>
      <c r="I14" s="37"/>
      <c r="L14" s="1"/>
    </row>
    <row r="15" spans="1:12" x14ac:dyDescent="0.2">
      <c r="A15">
        <v>12</v>
      </c>
      <c r="B15" s="77"/>
      <c r="C15" s="28" t="s">
        <v>41</v>
      </c>
      <c r="D15" s="9" t="s">
        <v>42</v>
      </c>
      <c r="E15" s="1" t="s">
        <v>7</v>
      </c>
      <c r="F15" s="35" t="s">
        <v>357</v>
      </c>
      <c r="G15" s="38">
        <v>1</v>
      </c>
      <c r="H15" s="36" t="s">
        <v>369</v>
      </c>
      <c r="I15" s="37"/>
      <c r="L15" s="1"/>
    </row>
    <row r="16" spans="1:12" x14ac:dyDescent="0.2">
      <c r="A16">
        <v>13</v>
      </c>
      <c r="B16" s="77"/>
      <c r="C16" s="28" t="s">
        <v>44</v>
      </c>
      <c r="D16" s="9" t="s">
        <v>45</v>
      </c>
      <c r="E16" s="1" t="s">
        <v>7</v>
      </c>
      <c r="F16" s="35" t="s">
        <v>368</v>
      </c>
      <c r="G16" s="38">
        <v>1</v>
      </c>
      <c r="H16" s="36" t="s">
        <v>43</v>
      </c>
      <c r="I16" s="37"/>
      <c r="L16" s="1"/>
    </row>
    <row r="17" spans="1:15" x14ac:dyDescent="0.2">
      <c r="A17">
        <v>14</v>
      </c>
      <c r="B17" s="77"/>
      <c r="C17" s="28" t="s">
        <v>46</v>
      </c>
      <c r="D17" s="9" t="s">
        <v>47</v>
      </c>
      <c r="E17" s="1" t="s">
        <v>7</v>
      </c>
      <c r="F17" s="35" t="s">
        <v>122</v>
      </c>
      <c r="G17" s="38">
        <v>1</v>
      </c>
      <c r="I17" s="33"/>
      <c r="L17" s="1"/>
    </row>
    <row r="18" spans="1:15" x14ac:dyDescent="0.2">
      <c r="A18">
        <v>15</v>
      </c>
      <c r="B18" s="77"/>
      <c r="C18" s="28" t="s">
        <v>48</v>
      </c>
      <c r="D18" s="9" t="s">
        <v>49</v>
      </c>
      <c r="E18" s="1" t="s">
        <v>7</v>
      </c>
      <c r="F18" s="35" t="s">
        <v>358</v>
      </c>
      <c r="G18" s="38">
        <v>1</v>
      </c>
      <c r="I18" s="33"/>
      <c r="L18" s="1"/>
    </row>
    <row r="19" spans="1:15" x14ac:dyDescent="0.2">
      <c r="A19">
        <v>16</v>
      </c>
      <c r="B19" s="77"/>
      <c r="C19" s="28" t="s">
        <v>50</v>
      </c>
      <c r="D19" s="9" t="s">
        <v>51</v>
      </c>
      <c r="E19" s="1" t="s">
        <v>7</v>
      </c>
      <c r="F19" s="35" t="s">
        <v>359</v>
      </c>
      <c r="G19" s="38">
        <v>1</v>
      </c>
      <c r="I19" s="33"/>
      <c r="L19" s="1"/>
    </row>
    <row r="20" spans="1:15" x14ac:dyDescent="0.2">
      <c r="A20">
        <v>17</v>
      </c>
      <c r="B20" s="77"/>
      <c r="C20" s="28" t="s">
        <v>52</v>
      </c>
      <c r="D20" s="9" t="s">
        <v>53</v>
      </c>
      <c r="E20" s="1" t="s">
        <v>7</v>
      </c>
      <c r="F20" s="35"/>
      <c r="I20" s="33"/>
      <c r="L20" s="1"/>
    </row>
    <row r="21" spans="1:15" x14ac:dyDescent="0.2">
      <c r="A21">
        <v>18</v>
      </c>
      <c r="B21" s="80" t="s">
        <v>54</v>
      </c>
      <c r="C21" s="28" t="s">
        <v>55</v>
      </c>
      <c r="D21" s="9" t="s">
        <v>56</v>
      </c>
      <c r="E21" s="1" t="s">
        <v>7</v>
      </c>
      <c r="F21" s="39"/>
      <c r="G21" s="40"/>
      <c r="H21" s="40"/>
      <c r="I21" s="41"/>
      <c r="L21" s="1"/>
    </row>
    <row r="22" spans="1:15" x14ac:dyDescent="0.2">
      <c r="A22">
        <v>19</v>
      </c>
      <c r="B22" s="77"/>
      <c r="C22" s="28" t="s">
        <v>57</v>
      </c>
      <c r="D22" s="9" t="s">
        <v>58</v>
      </c>
      <c r="E22" s="1" t="s">
        <v>7</v>
      </c>
      <c r="L22" s="1"/>
    </row>
    <row r="23" spans="1:15" x14ac:dyDescent="0.2">
      <c r="A23">
        <v>20</v>
      </c>
      <c r="B23" s="77"/>
      <c r="C23" s="28" t="s">
        <v>59</v>
      </c>
      <c r="D23" s="70" t="s">
        <v>365</v>
      </c>
      <c r="E23" s="1" t="s">
        <v>7</v>
      </c>
      <c r="L23" s="1"/>
      <c r="N23" s="15"/>
    </row>
    <row r="24" spans="1:15" x14ac:dyDescent="0.2">
      <c r="A24">
        <v>21</v>
      </c>
      <c r="B24" s="77"/>
      <c r="C24" s="28" t="s">
        <v>60</v>
      </c>
      <c r="D24" s="50" t="s">
        <v>61</v>
      </c>
      <c r="E24" s="1" t="s">
        <v>7</v>
      </c>
      <c r="H24" s="10"/>
      <c r="L24" s="1"/>
      <c r="N24" s="4"/>
      <c r="O24" s="1"/>
    </row>
    <row r="25" spans="1:15" x14ac:dyDescent="0.2">
      <c r="A25">
        <v>22</v>
      </c>
      <c r="B25" s="77"/>
      <c r="C25" s="28" t="s">
        <v>43</v>
      </c>
      <c r="D25" s="9"/>
      <c r="E25" s="1" t="s">
        <v>7</v>
      </c>
      <c r="G25" s="15"/>
      <c r="L25" s="1"/>
      <c r="N25" s="4"/>
    </row>
    <row r="26" spans="1:15" x14ac:dyDescent="0.2">
      <c r="A26">
        <v>23</v>
      </c>
      <c r="B26" s="81" t="s">
        <v>62</v>
      </c>
      <c r="C26" s="51" t="s">
        <v>63</v>
      </c>
      <c r="D26" s="69" t="s">
        <v>360</v>
      </c>
      <c r="E26" s="1" t="s">
        <v>7</v>
      </c>
      <c r="G26" s="4"/>
      <c r="H26" s="1"/>
      <c r="L26" s="1"/>
      <c r="N26" s="4"/>
    </row>
    <row r="27" spans="1:15" x14ac:dyDescent="0.2">
      <c r="A27">
        <v>24</v>
      </c>
      <c r="B27" s="77"/>
      <c r="C27" s="51" t="s">
        <v>64</v>
      </c>
      <c r="D27" s="70">
        <v>82</v>
      </c>
      <c r="E27" s="1" t="s">
        <v>7</v>
      </c>
      <c r="G27" s="4"/>
      <c r="L27" s="1"/>
      <c r="N27" s="4"/>
      <c r="O27" s="1"/>
    </row>
    <row r="28" spans="1:15" x14ac:dyDescent="0.2">
      <c r="A28">
        <v>25</v>
      </c>
      <c r="B28" s="77"/>
      <c r="C28" s="51" t="s">
        <v>65</v>
      </c>
      <c r="D28" s="69" t="s">
        <v>356</v>
      </c>
      <c r="E28" s="1" t="s">
        <v>7</v>
      </c>
      <c r="G28" s="4"/>
      <c r="L28" s="1"/>
      <c r="N28" s="4"/>
      <c r="O28" s="1"/>
    </row>
    <row r="29" spans="1:15" x14ac:dyDescent="0.2">
      <c r="A29">
        <v>26</v>
      </c>
      <c r="B29" s="77"/>
      <c r="C29" s="51" t="s">
        <v>66</v>
      </c>
      <c r="D29" s="70">
        <v>10</v>
      </c>
      <c r="E29" s="1" t="s">
        <v>7</v>
      </c>
      <c r="G29" s="4"/>
      <c r="H29" s="1"/>
      <c r="N29" s="4"/>
      <c r="O29" s="1"/>
    </row>
    <row r="30" spans="1:15" x14ac:dyDescent="0.2">
      <c r="A30">
        <v>27</v>
      </c>
      <c r="B30" s="77"/>
      <c r="C30" s="51" t="s">
        <v>67</v>
      </c>
      <c r="D30" s="69" t="s">
        <v>367</v>
      </c>
      <c r="E30" s="1" t="s">
        <v>7</v>
      </c>
      <c r="G30" s="4"/>
      <c r="H30" s="1"/>
      <c r="N30" s="4"/>
    </row>
    <row r="31" spans="1:15" x14ac:dyDescent="0.2">
      <c r="A31">
        <v>28</v>
      </c>
      <c r="B31" s="77"/>
      <c r="C31" s="51" t="s">
        <v>68</v>
      </c>
      <c r="D31" s="70">
        <v>7</v>
      </c>
      <c r="E31" s="1" t="s">
        <v>7</v>
      </c>
      <c r="G31" s="4"/>
      <c r="H31" s="1"/>
      <c r="N31" s="4"/>
    </row>
    <row r="32" spans="1:15" x14ac:dyDescent="0.2">
      <c r="A32">
        <v>29</v>
      </c>
      <c r="B32" s="77"/>
      <c r="C32" s="51" t="s">
        <v>69</v>
      </c>
      <c r="D32" s="70" t="s">
        <v>357</v>
      </c>
      <c r="E32" s="1" t="s">
        <v>7</v>
      </c>
      <c r="G32" s="4"/>
      <c r="N32" s="4"/>
    </row>
    <row r="33" spans="1:17" x14ac:dyDescent="0.2">
      <c r="A33">
        <v>30</v>
      </c>
      <c r="B33" s="77"/>
      <c r="C33" s="51" t="s">
        <v>70</v>
      </c>
      <c r="D33" s="70">
        <v>86</v>
      </c>
      <c r="E33" s="1" t="s">
        <v>7</v>
      </c>
      <c r="G33" s="4"/>
      <c r="N33" s="4"/>
      <c r="O33" s="2"/>
    </row>
    <row r="34" spans="1:17" x14ac:dyDescent="0.2">
      <c r="A34">
        <v>31</v>
      </c>
      <c r="B34" s="77"/>
      <c r="C34" s="51" t="s">
        <v>71</v>
      </c>
      <c r="D34" s="4" t="s">
        <v>368</v>
      </c>
      <c r="E34" s="1" t="s">
        <v>7</v>
      </c>
      <c r="G34" s="4"/>
      <c r="N34" s="4"/>
      <c r="O34" s="2"/>
    </row>
    <row r="35" spans="1:17" x14ac:dyDescent="0.2">
      <c r="A35">
        <v>32</v>
      </c>
      <c r="B35" s="77"/>
      <c r="C35" s="51" t="s">
        <v>72</v>
      </c>
      <c r="D35" s="70">
        <v>14</v>
      </c>
      <c r="E35" s="1" t="s">
        <v>7</v>
      </c>
      <c r="G35" s="4"/>
      <c r="H35" s="2"/>
      <c r="N35" s="4"/>
    </row>
    <row r="36" spans="1:17" x14ac:dyDescent="0.2">
      <c r="A36">
        <v>33</v>
      </c>
      <c r="B36" s="77"/>
      <c r="C36" s="51" t="s">
        <v>73</v>
      </c>
      <c r="D36" s="70" t="s">
        <v>122</v>
      </c>
      <c r="E36" s="1" t="s">
        <v>7</v>
      </c>
      <c r="G36" s="4"/>
      <c r="H36" s="2"/>
      <c r="N36" s="4"/>
      <c r="O36" s="1"/>
    </row>
    <row r="37" spans="1:17" x14ac:dyDescent="0.2">
      <c r="A37">
        <v>34</v>
      </c>
      <c r="B37" s="77"/>
      <c r="C37" s="51" t="s">
        <v>74</v>
      </c>
      <c r="D37" s="70">
        <v>2</v>
      </c>
      <c r="E37" s="1" t="s">
        <v>7</v>
      </c>
      <c r="G37" s="4"/>
      <c r="N37" s="4"/>
    </row>
    <row r="38" spans="1:17" x14ac:dyDescent="0.2">
      <c r="A38">
        <v>35</v>
      </c>
      <c r="B38" s="77"/>
      <c r="C38" s="51" t="s">
        <v>75</v>
      </c>
      <c r="D38" s="70" t="s">
        <v>358</v>
      </c>
      <c r="E38" s="1" t="s">
        <v>7</v>
      </c>
      <c r="G38" s="4"/>
      <c r="H38" s="1"/>
      <c r="N38" s="4"/>
    </row>
    <row r="39" spans="1:17" x14ac:dyDescent="0.2">
      <c r="A39">
        <v>36</v>
      </c>
      <c r="B39" s="77"/>
      <c r="C39" s="51" t="s">
        <v>77</v>
      </c>
      <c r="D39" s="70">
        <v>6</v>
      </c>
      <c r="E39" s="1" t="s">
        <v>7</v>
      </c>
      <c r="G39" s="4"/>
      <c r="N39" s="4"/>
    </row>
    <row r="40" spans="1:17" x14ac:dyDescent="0.2">
      <c r="A40">
        <v>37</v>
      </c>
      <c r="B40" s="77"/>
      <c r="C40" s="51" t="s">
        <v>78</v>
      </c>
      <c r="D40" s="70" t="s">
        <v>359</v>
      </c>
      <c r="E40" s="1" t="s">
        <v>7</v>
      </c>
      <c r="G40" s="4"/>
      <c r="N40" s="4"/>
    </row>
    <row r="41" spans="1:17" x14ac:dyDescent="0.2">
      <c r="A41">
        <v>38</v>
      </c>
      <c r="B41" s="77"/>
      <c r="C41" s="51" t="s">
        <v>80</v>
      </c>
      <c r="D41" s="70">
        <v>20</v>
      </c>
      <c r="E41" s="1" t="s">
        <v>7</v>
      </c>
      <c r="G41" s="4"/>
      <c r="N41" s="4"/>
    </row>
    <row r="42" spans="1:17" x14ac:dyDescent="0.2">
      <c r="A42">
        <v>39</v>
      </c>
      <c r="B42" s="77"/>
      <c r="C42" s="51" t="s">
        <v>81</v>
      </c>
      <c r="D42" s="9" t="s">
        <v>79</v>
      </c>
      <c r="E42" s="1" t="s">
        <v>7</v>
      </c>
      <c r="G42" s="4"/>
      <c r="N42" s="4"/>
    </row>
    <row r="43" spans="1:17" x14ac:dyDescent="0.2">
      <c r="A43">
        <v>40</v>
      </c>
      <c r="B43" s="77"/>
      <c r="C43" s="51" t="s">
        <v>82</v>
      </c>
      <c r="D43" s="9" t="s">
        <v>79</v>
      </c>
      <c r="E43" s="1" t="s">
        <v>7</v>
      </c>
      <c r="G43" s="4"/>
      <c r="N43" s="4"/>
      <c r="O43" s="15"/>
      <c r="P43" s="16"/>
      <c r="Q43" s="17"/>
    </row>
    <row r="44" spans="1:17" x14ac:dyDescent="0.2">
      <c r="A44">
        <v>41</v>
      </c>
      <c r="B44" s="77"/>
      <c r="C44" s="51" t="s">
        <v>83</v>
      </c>
      <c r="D44" s="9" t="s">
        <v>79</v>
      </c>
      <c r="E44" s="1" t="s">
        <v>7</v>
      </c>
      <c r="G44" s="4"/>
      <c r="N44" s="4"/>
      <c r="O44" s="4"/>
      <c r="P44" s="4"/>
      <c r="Q44" s="4"/>
    </row>
    <row r="45" spans="1:17" x14ac:dyDescent="0.2">
      <c r="A45">
        <v>42</v>
      </c>
      <c r="B45" s="77"/>
      <c r="C45" s="51" t="s">
        <v>84</v>
      </c>
      <c r="D45" s="9" t="s">
        <v>79</v>
      </c>
      <c r="E45" s="1" t="s">
        <v>7</v>
      </c>
      <c r="G45" s="4"/>
      <c r="H45" s="15"/>
      <c r="I45" s="16"/>
      <c r="O45" s="3"/>
      <c r="Q45" s="2"/>
    </row>
    <row r="46" spans="1:17" x14ac:dyDescent="0.2">
      <c r="A46">
        <v>43</v>
      </c>
      <c r="B46" s="77"/>
      <c r="C46" s="51" t="s">
        <v>85</v>
      </c>
      <c r="D46" s="9" t="s">
        <v>79</v>
      </c>
      <c r="E46" s="1" t="s">
        <v>7</v>
      </c>
      <c r="G46" s="4"/>
      <c r="H46" s="4"/>
      <c r="I46" s="4"/>
      <c r="O46" s="3"/>
      <c r="Q46" s="2"/>
    </row>
    <row r="47" spans="1:17" x14ac:dyDescent="0.2">
      <c r="A47">
        <v>44</v>
      </c>
      <c r="B47" s="77"/>
      <c r="C47" s="51" t="s">
        <v>86</v>
      </c>
      <c r="D47" s="9" t="s">
        <v>79</v>
      </c>
      <c r="E47" s="1" t="s">
        <v>7</v>
      </c>
      <c r="H47" s="42"/>
      <c r="N47" s="10"/>
      <c r="O47" s="3"/>
      <c r="Q47" s="2"/>
    </row>
    <row r="48" spans="1:17" x14ac:dyDescent="0.2">
      <c r="A48">
        <v>45</v>
      </c>
      <c r="B48" s="77"/>
      <c r="C48" s="51" t="s">
        <v>87</v>
      </c>
      <c r="D48" s="9" t="s">
        <v>79</v>
      </c>
      <c r="E48" s="1" t="s">
        <v>7</v>
      </c>
      <c r="H48" s="3"/>
      <c r="N48" s="10"/>
      <c r="O48" s="3"/>
      <c r="Q48" s="2"/>
    </row>
    <row r="49" spans="1:17" x14ac:dyDescent="0.2">
      <c r="A49">
        <v>46</v>
      </c>
      <c r="B49" s="77"/>
      <c r="C49" s="51" t="s">
        <v>88</v>
      </c>
      <c r="D49" s="9" t="s">
        <v>79</v>
      </c>
      <c r="E49" s="1" t="s">
        <v>7</v>
      </c>
      <c r="G49" s="10"/>
      <c r="H49" s="3"/>
      <c r="Q49" s="2"/>
    </row>
    <row r="50" spans="1:17" x14ac:dyDescent="0.2">
      <c r="A50">
        <v>47</v>
      </c>
      <c r="B50" s="77"/>
      <c r="C50" s="28" t="s">
        <v>89</v>
      </c>
      <c r="D50" s="9" t="s">
        <v>90</v>
      </c>
      <c r="E50" s="1" t="s">
        <v>7</v>
      </c>
      <c r="H50" s="38"/>
    </row>
    <row r="51" spans="1:17" ht="48" x14ac:dyDescent="0.2">
      <c r="A51">
        <v>48</v>
      </c>
      <c r="B51" s="77"/>
      <c r="C51" s="28" t="s">
        <v>91</v>
      </c>
      <c r="D51" s="52" t="s">
        <v>92</v>
      </c>
      <c r="E51" s="1" t="s">
        <v>7</v>
      </c>
      <c r="H51" s="38"/>
    </row>
    <row r="52" spans="1:17" ht="48" x14ac:dyDescent="0.2">
      <c r="A52">
        <v>49</v>
      </c>
      <c r="B52" s="77"/>
      <c r="C52" s="28" t="s">
        <v>93</v>
      </c>
      <c r="D52" s="53" t="s">
        <v>94</v>
      </c>
      <c r="E52" s="1" t="s">
        <v>7</v>
      </c>
      <c r="H52" s="38"/>
    </row>
    <row r="53" spans="1:17" x14ac:dyDescent="0.2">
      <c r="A53">
        <v>50</v>
      </c>
      <c r="B53" s="82" t="s">
        <v>95</v>
      </c>
      <c r="C53" s="47" t="s">
        <v>96</v>
      </c>
      <c r="D53" s="70" t="s">
        <v>363</v>
      </c>
      <c r="E53" s="1" t="s">
        <v>7</v>
      </c>
    </row>
    <row r="54" spans="1:17" x14ac:dyDescent="0.2">
      <c r="A54">
        <v>51</v>
      </c>
      <c r="B54" s="77"/>
      <c r="C54" s="47" t="s">
        <v>98</v>
      </c>
      <c r="D54" s="70" t="s">
        <v>364</v>
      </c>
      <c r="E54" s="1" t="s">
        <v>7</v>
      </c>
    </row>
    <row r="55" spans="1:17" x14ac:dyDescent="0.2">
      <c r="A55">
        <v>52</v>
      </c>
      <c r="B55" s="77"/>
      <c r="C55" s="47" t="s">
        <v>99</v>
      </c>
      <c r="D55" s="54" t="s">
        <v>97</v>
      </c>
      <c r="E55" s="1" t="s">
        <v>7</v>
      </c>
    </row>
    <row r="56" spans="1:17" x14ac:dyDescent="0.2">
      <c r="A56">
        <v>53</v>
      </c>
      <c r="B56" s="77"/>
      <c r="C56" s="47" t="s">
        <v>100</v>
      </c>
      <c r="D56" s="54" t="s">
        <v>97</v>
      </c>
      <c r="E56" s="1" t="s">
        <v>7</v>
      </c>
    </row>
    <row r="57" spans="1:17" x14ac:dyDescent="0.2">
      <c r="A57">
        <v>54</v>
      </c>
      <c r="B57" s="77"/>
      <c r="C57" s="28" t="s">
        <v>101</v>
      </c>
      <c r="D57" s="54" t="s">
        <v>97</v>
      </c>
      <c r="E57" s="1" t="s">
        <v>7</v>
      </c>
    </row>
    <row r="58" spans="1:17" x14ac:dyDescent="0.2">
      <c r="A58">
        <v>55</v>
      </c>
      <c r="B58" s="77"/>
      <c r="C58" s="47" t="s">
        <v>102</v>
      </c>
      <c r="D58" s="54" t="s">
        <v>103</v>
      </c>
      <c r="E58" s="1" t="s">
        <v>7</v>
      </c>
    </row>
    <row r="59" spans="1:17" x14ac:dyDescent="0.2">
      <c r="A59">
        <v>56</v>
      </c>
      <c r="B59" s="77"/>
      <c r="C59" s="47" t="s">
        <v>104</v>
      </c>
      <c r="D59" s="54" t="s">
        <v>103</v>
      </c>
      <c r="E59" s="1" t="s">
        <v>7</v>
      </c>
    </row>
    <row r="60" spans="1:17" x14ac:dyDescent="0.2">
      <c r="A60">
        <v>57</v>
      </c>
      <c r="B60" s="77"/>
      <c r="C60" s="47" t="s">
        <v>105</v>
      </c>
      <c r="D60" s="49">
        <v>1</v>
      </c>
      <c r="E60" s="1" t="s">
        <v>7</v>
      </c>
    </row>
    <row r="61" spans="1:17" x14ac:dyDescent="0.2">
      <c r="A61">
        <v>58</v>
      </c>
      <c r="B61" s="83" t="s">
        <v>106</v>
      </c>
      <c r="C61" s="47" t="s">
        <v>107</v>
      </c>
      <c r="D61" s="54" t="s">
        <v>103</v>
      </c>
      <c r="E61" s="1" t="s">
        <v>7</v>
      </c>
    </row>
    <row r="62" spans="1:17" x14ac:dyDescent="0.2">
      <c r="A62">
        <v>59</v>
      </c>
      <c r="B62" s="77"/>
      <c r="C62" s="47" t="s">
        <v>108</v>
      </c>
      <c r="D62" s="50" t="s">
        <v>61</v>
      </c>
      <c r="E62" s="1" t="s">
        <v>7</v>
      </c>
    </row>
    <row r="63" spans="1:17" x14ac:dyDescent="0.2">
      <c r="A63">
        <v>60</v>
      </c>
      <c r="B63" s="77"/>
      <c r="C63" s="47" t="s">
        <v>109</v>
      </c>
      <c r="D63" s="9" t="s">
        <v>110</v>
      </c>
      <c r="E63" s="1" t="s">
        <v>7</v>
      </c>
    </row>
    <row r="64" spans="1:17" x14ac:dyDescent="0.2">
      <c r="A64">
        <v>61</v>
      </c>
      <c r="B64" s="77"/>
      <c r="C64" s="47" t="s">
        <v>111</v>
      </c>
      <c r="D64" s="9" t="s">
        <v>112</v>
      </c>
      <c r="E64" s="1" t="s">
        <v>7</v>
      </c>
    </row>
    <row r="65" spans="1:5" x14ac:dyDescent="0.2">
      <c r="A65">
        <v>62</v>
      </c>
      <c r="B65" s="77"/>
      <c r="C65" s="47" t="s">
        <v>113</v>
      </c>
      <c r="D65" s="33"/>
      <c r="E65" s="1" t="s">
        <v>7</v>
      </c>
    </row>
    <row r="66" spans="1:5" x14ac:dyDescent="0.2">
      <c r="A66">
        <v>63</v>
      </c>
      <c r="B66" s="77"/>
      <c r="C66" s="47" t="s">
        <v>114</v>
      </c>
      <c r="D66" s="33"/>
      <c r="E66" s="1" t="s">
        <v>7</v>
      </c>
    </row>
    <row r="67" spans="1:5" x14ac:dyDescent="0.2">
      <c r="A67">
        <v>64</v>
      </c>
      <c r="B67" s="77"/>
      <c r="C67" s="47" t="s">
        <v>115</v>
      </c>
      <c r="D67" s="33"/>
      <c r="E67" s="1" t="s">
        <v>7</v>
      </c>
    </row>
    <row r="68" spans="1:5" x14ac:dyDescent="0.2">
      <c r="A68">
        <v>65</v>
      </c>
      <c r="B68" s="84" t="s">
        <v>116</v>
      </c>
      <c r="C68" s="32" t="s">
        <v>117</v>
      </c>
      <c r="D68" s="33"/>
      <c r="E68" s="1" t="s">
        <v>7</v>
      </c>
    </row>
    <row r="69" spans="1:5" x14ac:dyDescent="0.2">
      <c r="A69">
        <v>66</v>
      </c>
      <c r="B69" s="77"/>
      <c r="C69" s="32" t="s">
        <v>118</v>
      </c>
      <c r="D69" s="33"/>
      <c r="E69" s="1" t="s">
        <v>7</v>
      </c>
    </row>
    <row r="70" spans="1:5" x14ac:dyDescent="0.2">
      <c r="A70">
        <v>67</v>
      </c>
      <c r="B70" s="77"/>
      <c r="C70" s="32" t="s">
        <v>119</v>
      </c>
      <c r="D70" s="33"/>
      <c r="E70" s="1" t="s">
        <v>7</v>
      </c>
    </row>
    <row r="71" spans="1:5" x14ac:dyDescent="0.2">
      <c r="A71">
        <v>68</v>
      </c>
      <c r="B71" s="77"/>
      <c r="C71" s="32" t="s">
        <v>120</v>
      </c>
      <c r="D71" s="33"/>
      <c r="E71" s="1" t="s">
        <v>7</v>
      </c>
    </row>
    <row r="72" spans="1:5" x14ac:dyDescent="0.2">
      <c r="A72">
        <v>69</v>
      </c>
      <c r="B72" s="85"/>
      <c r="C72" s="39" t="s">
        <v>121</v>
      </c>
      <c r="D72" s="41"/>
      <c r="E72" s="1" t="s">
        <v>7</v>
      </c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DA814-4421-A949-9F4B-593AFCEC7FC4}">
  <dimension ref="A1:P139"/>
  <sheetViews>
    <sheetView workbookViewId="0">
      <selection activeCell="E10" sqref="E10"/>
    </sheetView>
  </sheetViews>
  <sheetFormatPr baseColWidth="10" defaultRowHeight="15" x14ac:dyDescent="0.2"/>
  <cols>
    <col min="1" max="1" width="62.5" customWidth="1"/>
  </cols>
  <sheetData>
    <row r="1" spans="1:16" ht="48" x14ac:dyDescent="0.2">
      <c r="A1" s="20" t="s">
        <v>360</v>
      </c>
      <c r="B1" s="71" t="s">
        <v>356</v>
      </c>
      <c r="C1" s="4" t="s">
        <v>367</v>
      </c>
      <c r="D1" s="71" t="s">
        <v>357</v>
      </c>
      <c r="E1" s="4" t="s">
        <v>368</v>
      </c>
      <c r="F1" s="71" t="s">
        <v>122</v>
      </c>
      <c r="G1" s="71" t="s">
        <v>358</v>
      </c>
      <c r="H1" s="72" t="s">
        <v>359</v>
      </c>
      <c r="I1" s="71" t="s">
        <v>36</v>
      </c>
      <c r="J1" s="20" t="s">
        <v>361</v>
      </c>
      <c r="K1" s="20" t="s">
        <v>362</v>
      </c>
      <c r="L1" s="73" t="s">
        <v>369</v>
      </c>
      <c r="M1" s="20" t="s">
        <v>43</v>
      </c>
      <c r="N1" s="20" t="s">
        <v>76</v>
      </c>
      <c r="O1" s="20" t="s">
        <v>123</v>
      </c>
      <c r="P1" s="20" t="s">
        <v>124</v>
      </c>
    </row>
    <row r="2" spans="1:16" x14ac:dyDescent="0.2">
      <c r="A2" s="55" t="s">
        <v>291</v>
      </c>
      <c r="B2" s="55" t="s">
        <v>147</v>
      </c>
      <c r="C2" s="55" t="s">
        <v>133</v>
      </c>
      <c r="D2" s="55" t="s">
        <v>79</v>
      </c>
      <c r="E2" s="62" t="s">
        <v>134</v>
      </c>
      <c r="F2" s="55" t="s">
        <v>139</v>
      </c>
      <c r="G2" s="62" t="s">
        <v>127</v>
      </c>
      <c r="H2" s="55" t="s">
        <v>128</v>
      </c>
      <c r="I2" s="55">
        <v>19.34</v>
      </c>
      <c r="J2" s="55" t="s">
        <v>129</v>
      </c>
      <c r="K2" s="55"/>
      <c r="L2" s="55"/>
      <c r="M2" s="55" t="s">
        <v>278</v>
      </c>
      <c r="N2" s="55" t="s">
        <v>79</v>
      </c>
      <c r="O2" s="55" t="s">
        <v>135</v>
      </c>
      <c r="P2" s="55">
        <v>1</v>
      </c>
    </row>
    <row r="3" spans="1:16" x14ac:dyDescent="0.2">
      <c r="A3" s="55" t="s">
        <v>292</v>
      </c>
      <c r="B3" s="55" t="s">
        <v>147</v>
      </c>
      <c r="C3" s="55" t="s">
        <v>133</v>
      </c>
      <c r="D3" s="55" t="s">
        <v>79</v>
      </c>
      <c r="E3" s="62" t="s">
        <v>134</v>
      </c>
      <c r="F3" s="55" t="s">
        <v>139</v>
      </c>
      <c r="G3" s="62" t="s">
        <v>127</v>
      </c>
      <c r="H3" s="55" t="s">
        <v>128</v>
      </c>
      <c r="I3" s="55">
        <v>0.98199999999999998</v>
      </c>
      <c r="J3" s="55" t="s">
        <v>129</v>
      </c>
      <c r="K3" s="55"/>
      <c r="L3" s="55"/>
      <c r="M3" s="55" t="s">
        <v>314</v>
      </c>
      <c r="N3" s="55" t="s">
        <v>79</v>
      </c>
      <c r="O3" s="55" t="s">
        <v>135</v>
      </c>
      <c r="P3" s="55">
        <v>1</v>
      </c>
    </row>
    <row r="4" spans="1:16" x14ac:dyDescent="0.2">
      <c r="A4" s="55" t="s">
        <v>293</v>
      </c>
      <c r="B4" s="55" t="s">
        <v>147</v>
      </c>
      <c r="C4" s="55" t="s">
        <v>133</v>
      </c>
      <c r="D4" s="55" t="s">
        <v>79</v>
      </c>
      <c r="E4" s="62" t="s">
        <v>134</v>
      </c>
      <c r="F4" s="55" t="s">
        <v>139</v>
      </c>
      <c r="G4" s="62" t="s">
        <v>127</v>
      </c>
      <c r="H4" s="55" t="s">
        <v>128</v>
      </c>
      <c r="I4" s="55">
        <v>4.1669999999999998</v>
      </c>
      <c r="J4" s="55" t="s">
        <v>129</v>
      </c>
      <c r="K4" s="55"/>
      <c r="L4" s="55"/>
      <c r="M4" s="55" t="s">
        <v>314</v>
      </c>
      <c r="N4" s="55" t="s">
        <v>79</v>
      </c>
      <c r="O4" s="55" t="s">
        <v>135</v>
      </c>
      <c r="P4" s="55">
        <v>1</v>
      </c>
    </row>
    <row r="5" spans="1:16" x14ac:dyDescent="0.2">
      <c r="A5" s="55" t="s">
        <v>294</v>
      </c>
      <c r="B5" s="55" t="s">
        <v>147</v>
      </c>
      <c r="C5" s="55" t="s">
        <v>133</v>
      </c>
      <c r="D5" s="55" t="s">
        <v>79</v>
      </c>
      <c r="E5" s="62" t="s">
        <v>134</v>
      </c>
      <c r="F5" s="55" t="s">
        <v>139</v>
      </c>
      <c r="G5" s="62" t="s">
        <v>127</v>
      </c>
      <c r="H5" s="55" t="s">
        <v>128</v>
      </c>
      <c r="I5" s="55">
        <v>3.335</v>
      </c>
      <c r="J5" s="55" t="s">
        <v>129</v>
      </c>
      <c r="K5" s="55"/>
      <c r="L5" s="55"/>
      <c r="M5" s="55" t="s">
        <v>314</v>
      </c>
      <c r="N5" s="55" t="s">
        <v>79</v>
      </c>
      <c r="O5" s="55" t="s">
        <v>135</v>
      </c>
      <c r="P5" s="55">
        <v>1</v>
      </c>
    </row>
    <row r="6" spans="1:16" x14ac:dyDescent="0.2">
      <c r="A6" s="55" t="s">
        <v>295</v>
      </c>
      <c r="B6" s="55" t="s">
        <v>147</v>
      </c>
      <c r="C6" s="55" t="s">
        <v>133</v>
      </c>
      <c r="D6" s="55" t="s">
        <v>79</v>
      </c>
      <c r="E6" s="62" t="s">
        <v>134</v>
      </c>
      <c r="F6" s="55" t="s">
        <v>139</v>
      </c>
      <c r="G6" s="62" t="s">
        <v>127</v>
      </c>
      <c r="H6" s="55" t="s">
        <v>128</v>
      </c>
      <c r="I6" s="55">
        <v>3.11</v>
      </c>
      <c r="J6" s="55" t="s">
        <v>129</v>
      </c>
      <c r="K6" s="55"/>
      <c r="L6" s="55"/>
      <c r="M6" s="55" t="s">
        <v>314</v>
      </c>
      <c r="N6" s="55" t="s">
        <v>79</v>
      </c>
      <c r="O6" s="55" t="s">
        <v>135</v>
      </c>
      <c r="P6" s="55">
        <v>1</v>
      </c>
    </row>
    <row r="7" spans="1:16" x14ac:dyDescent="0.2">
      <c r="A7" s="55" t="s">
        <v>296</v>
      </c>
      <c r="B7" s="55" t="s">
        <v>147</v>
      </c>
      <c r="C7" s="55" t="s">
        <v>133</v>
      </c>
      <c r="D7" s="55" t="s">
        <v>79</v>
      </c>
      <c r="E7" s="62" t="s">
        <v>134</v>
      </c>
      <c r="F7" s="55" t="s">
        <v>139</v>
      </c>
      <c r="G7" s="62" t="s">
        <v>127</v>
      </c>
      <c r="H7" s="55" t="s">
        <v>128</v>
      </c>
      <c r="I7" s="55">
        <v>0.69</v>
      </c>
      <c r="J7" s="55" t="s">
        <v>129</v>
      </c>
      <c r="K7" s="55"/>
      <c r="L7" s="55"/>
      <c r="M7" s="55" t="s">
        <v>314</v>
      </c>
      <c r="N7" s="55" t="s">
        <v>79</v>
      </c>
      <c r="O7" s="55" t="s">
        <v>135</v>
      </c>
      <c r="P7" s="55">
        <v>1</v>
      </c>
    </row>
    <row r="8" spans="1:16" x14ac:dyDescent="0.2">
      <c r="A8" s="55" t="s">
        <v>297</v>
      </c>
      <c r="B8" s="55" t="s">
        <v>147</v>
      </c>
      <c r="C8" s="55" t="s">
        <v>133</v>
      </c>
      <c r="D8" s="55" t="s">
        <v>79</v>
      </c>
      <c r="E8" s="62" t="s">
        <v>134</v>
      </c>
      <c r="F8" s="55" t="s">
        <v>139</v>
      </c>
      <c r="G8" s="62" t="s">
        <v>127</v>
      </c>
      <c r="H8" s="55" t="s">
        <v>128</v>
      </c>
      <c r="I8" s="55">
        <v>0.92</v>
      </c>
      <c r="J8" s="55" t="s">
        <v>129</v>
      </c>
      <c r="K8" s="55"/>
      <c r="L8" s="55"/>
      <c r="M8" s="55" t="s">
        <v>314</v>
      </c>
      <c r="N8" s="55" t="s">
        <v>79</v>
      </c>
      <c r="O8" s="55" t="s">
        <v>135</v>
      </c>
      <c r="P8" s="55">
        <v>1</v>
      </c>
    </row>
    <row r="9" spans="1:16" x14ac:dyDescent="0.2">
      <c r="A9" s="55" t="s">
        <v>298</v>
      </c>
      <c r="B9" s="55" t="s">
        <v>147</v>
      </c>
      <c r="C9" s="55" t="s">
        <v>133</v>
      </c>
      <c r="D9" s="55" t="s">
        <v>79</v>
      </c>
      <c r="E9" s="62" t="s">
        <v>134</v>
      </c>
      <c r="F9" s="55" t="s">
        <v>139</v>
      </c>
      <c r="G9" s="62" t="s">
        <v>127</v>
      </c>
      <c r="H9" s="55" t="s">
        <v>128</v>
      </c>
      <c r="I9" s="55">
        <v>1.38</v>
      </c>
      <c r="J9" s="55" t="s">
        <v>129</v>
      </c>
      <c r="K9" s="55"/>
      <c r="L9" s="55"/>
      <c r="M9" s="55" t="s">
        <v>314</v>
      </c>
      <c r="N9" s="55" t="s">
        <v>79</v>
      </c>
      <c r="O9" s="55" t="s">
        <v>135</v>
      </c>
      <c r="P9" s="55">
        <v>1</v>
      </c>
    </row>
    <row r="10" spans="1:16" x14ac:dyDescent="0.2">
      <c r="A10" s="55" t="s">
        <v>300</v>
      </c>
      <c r="B10" s="55" t="s">
        <v>147</v>
      </c>
      <c r="C10" s="55" t="s">
        <v>133</v>
      </c>
      <c r="D10" s="55" t="s">
        <v>79</v>
      </c>
      <c r="E10" s="62" t="s">
        <v>134</v>
      </c>
      <c r="F10" s="55" t="s">
        <v>139</v>
      </c>
      <c r="G10" s="62" t="s">
        <v>127</v>
      </c>
      <c r="H10" s="55" t="s">
        <v>128</v>
      </c>
      <c r="I10" s="55">
        <v>33.923999999999999</v>
      </c>
      <c r="J10" s="55" t="s">
        <v>129</v>
      </c>
      <c r="K10" s="55"/>
      <c r="L10" s="55"/>
      <c r="M10" s="55" t="s">
        <v>314</v>
      </c>
      <c r="N10" s="55" t="s">
        <v>277</v>
      </c>
      <c r="O10" s="55" t="s">
        <v>135</v>
      </c>
      <c r="P10" s="55">
        <v>1</v>
      </c>
    </row>
    <row r="11" spans="1:16" x14ac:dyDescent="0.2">
      <c r="A11" s="55" t="s">
        <v>301</v>
      </c>
      <c r="B11" s="55" t="s">
        <v>147</v>
      </c>
      <c r="C11" s="55" t="s">
        <v>133</v>
      </c>
      <c r="D11" s="55" t="s">
        <v>79</v>
      </c>
      <c r="E11" s="62" t="s">
        <v>134</v>
      </c>
      <c r="F11" s="55" t="s">
        <v>139</v>
      </c>
      <c r="G11" s="62" t="s">
        <v>127</v>
      </c>
      <c r="H11" s="55" t="s">
        <v>128</v>
      </c>
      <c r="I11" s="55">
        <v>33.357999999999997</v>
      </c>
      <c r="J11" s="55" t="s">
        <v>129</v>
      </c>
      <c r="K11" s="55"/>
      <c r="L11" s="55"/>
      <c r="M11" s="55" t="s">
        <v>315</v>
      </c>
      <c r="N11" s="55" t="s">
        <v>79</v>
      </c>
      <c r="O11" s="55" t="s">
        <v>135</v>
      </c>
      <c r="P11" s="55">
        <v>1</v>
      </c>
    </row>
    <row r="12" spans="1:16" x14ac:dyDescent="0.2">
      <c r="A12" s="55" t="s">
        <v>302</v>
      </c>
      <c r="B12" s="55" t="s">
        <v>147</v>
      </c>
      <c r="C12" s="55" t="s">
        <v>286</v>
      </c>
      <c r="D12" s="55" t="s">
        <v>79</v>
      </c>
      <c r="E12" s="62" t="s">
        <v>134</v>
      </c>
      <c r="F12" s="55" t="s">
        <v>139</v>
      </c>
      <c r="G12" s="62" t="s">
        <v>127</v>
      </c>
      <c r="H12" s="55" t="s">
        <v>128</v>
      </c>
      <c r="I12" s="55">
        <v>32.886000000000003</v>
      </c>
      <c r="J12" s="55" t="s">
        <v>129</v>
      </c>
      <c r="K12" s="55"/>
      <c r="L12" s="55"/>
      <c r="M12" s="55" t="s">
        <v>316</v>
      </c>
      <c r="N12" s="55" t="s">
        <v>79</v>
      </c>
      <c r="O12" s="55" t="s">
        <v>135</v>
      </c>
      <c r="P12" s="55">
        <v>1</v>
      </c>
    </row>
    <row r="13" spans="1:16" x14ac:dyDescent="0.2">
      <c r="A13" s="55" t="s">
        <v>281</v>
      </c>
      <c r="B13" s="55" t="s">
        <v>147</v>
      </c>
      <c r="C13" s="55" t="s">
        <v>279</v>
      </c>
      <c r="D13" s="55" t="s">
        <v>79</v>
      </c>
      <c r="E13" s="62" t="s">
        <v>134</v>
      </c>
      <c r="F13" s="55" t="s">
        <v>139</v>
      </c>
      <c r="G13" s="62" t="s">
        <v>127</v>
      </c>
      <c r="H13" s="55" t="s">
        <v>128</v>
      </c>
      <c r="I13" s="55">
        <v>1.06</v>
      </c>
      <c r="J13" s="55" t="s">
        <v>129</v>
      </c>
      <c r="K13" s="55"/>
      <c r="L13" s="55"/>
      <c r="M13" s="55" t="s">
        <v>316</v>
      </c>
      <c r="N13" s="55" t="s">
        <v>79</v>
      </c>
      <c r="O13" s="55" t="s">
        <v>135</v>
      </c>
      <c r="P13" s="55">
        <v>1</v>
      </c>
    </row>
    <row r="14" spans="1:16" x14ac:dyDescent="0.2">
      <c r="A14" s="55" t="s">
        <v>303</v>
      </c>
      <c r="B14" s="55" t="s">
        <v>147</v>
      </c>
      <c r="C14" s="55" t="s">
        <v>280</v>
      </c>
      <c r="D14" s="55" t="s">
        <v>79</v>
      </c>
      <c r="E14" s="62" t="s">
        <v>134</v>
      </c>
      <c r="F14" s="55" t="s">
        <v>139</v>
      </c>
      <c r="G14" s="62" t="s">
        <v>127</v>
      </c>
      <c r="H14" s="55" t="s">
        <v>128</v>
      </c>
      <c r="I14" s="55">
        <v>33.945999999999998</v>
      </c>
      <c r="J14" s="55" t="s">
        <v>129</v>
      </c>
      <c r="K14" s="55"/>
      <c r="L14" s="55"/>
      <c r="M14" s="55" t="s">
        <v>316</v>
      </c>
      <c r="N14" s="55" t="s">
        <v>79</v>
      </c>
      <c r="O14" s="55" t="s">
        <v>135</v>
      </c>
      <c r="P14" s="55">
        <v>1</v>
      </c>
    </row>
    <row r="15" spans="1:16" x14ac:dyDescent="0.2">
      <c r="A15" s="55" t="s">
        <v>304</v>
      </c>
      <c r="B15" s="55" t="s">
        <v>147</v>
      </c>
      <c r="C15" s="55" t="s">
        <v>283</v>
      </c>
      <c r="D15" s="55" t="s">
        <v>79</v>
      </c>
      <c r="E15" s="62" t="s">
        <v>134</v>
      </c>
      <c r="F15" s="55" t="s">
        <v>139</v>
      </c>
      <c r="G15" s="62" t="s">
        <v>127</v>
      </c>
      <c r="H15" s="55" t="s">
        <v>128</v>
      </c>
      <c r="I15" s="55">
        <v>33.712000000000003</v>
      </c>
      <c r="J15" s="55" t="s">
        <v>129</v>
      </c>
      <c r="K15" s="55"/>
      <c r="L15" s="55"/>
      <c r="M15" s="55" t="s">
        <v>317</v>
      </c>
      <c r="N15" s="55" t="s">
        <v>79</v>
      </c>
      <c r="O15" s="55" t="s">
        <v>135</v>
      </c>
      <c r="P15" s="55">
        <v>1</v>
      </c>
    </row>
    <row r="16" spans="1:16" x14ac:dyDescent="0.2">
      <c r="A16" s="55" t="s">
        <v>282</v>
      </c>
      <c r="B16" s="55" t="s">
        <v>147</v>
      </c>
      <c r="C16" s="55" t="s">
        <v>284</v>
      </c>
      <c r="D16" s="55" t="s">
        <v>79</v>
      </c>
      <c r="E16" s="62" t="s">
        <v>134</v>
      </c>
      <c r="F16" s="55" t="s">
        <v>139</v>
      </c>
      <c r="G16" s="62" t="s">
        <v>127</v>
      </c>
      <c r="H16" s="55" t="s">
        <v>128</v>
      </c>
      <c r="I16" s="55">
        <v>3.6539999999999999</v>
      </c>
      <c r="J16" s="55" t="s">
        <v>129</v>
      </c>
      <c r="K16" s="55"/>
      <c r="L16" s="55"/>
      <c r="M16" s="55" t="s">
        <v>317</v>
      </c>
      <c r="N16" s="55" t="s">
        <v>79</v>
      </c>
      <c r="O16" s="55" t="s">
        <v>135</v>
      </c>
      <c r="P16" s="55">
        <v>1</v>
      </c>
    </row>
    <row r="17" spans="1:16" x14ac:dyDescent="0.2">
      <c r="A17" s="55" t="s">
        <v>305</v>
      </c>
      <c r="B17" s="55" t="s">
        <v>147</v>
      </c>
      <c r="C17" s="55" t="s">
        <v>285</v>
      </c>
      <c r="D17" s="55" t="s">
        <v>79</v>
      </c>
      <c r="E17" s="62" t="s">
        <v>134</v>
      </c>
      <c r="F17" s="55" t="s">
        <v>139</v>
      </c>
      <c r="G17" s="62" t="s">
        <v>127</v>
      </c>
      <c r="H17" s="55" t="s">
        <v>128</v>
      </c>
      <c r="I17" s="55">
        <v>37.366</v>
      </c>
      <c r="J17" s="55" t="s">
        <v>129</v>
      </c>
      <c r="K17" s="55"/>
      <c r="L17" s="55"/>
      <c r="M17" s="55" t="s">
        <v>317</v>
      </c>
      <c r="N17" s="55" t="s">
        <v>79</v>
      </c>
      <c r="O17" s="55" t="s">
        <v>135</v>
      </c>
      <c r="P17" s="55">
        <v>1</v>
      </c>
    </row>
    <row r="18" spans="1:16" x14ac:dyDescent="0.2">
      <c r="A18" s="55" t="s">
        <v>304</v>
      </c>
      <c r="B18" s="55" t="s">
        <v>147</v>
      </c>
      <c r="C18" s="55" t="s">
        <v>287</v>
      </c>
      <c r="D18" s="55" t="s">
        <v>79</v>
      </c>
      <c r="E18" s="62" t="s">
        <v>134</v>
      </c>
      <c r="F18" s="55" t="s">
        <v>139</v>
      </c>
      <c r="G18" s="62" t="s">
        <v>127</v>
      </c>
      <c r="H18" s="55" t="s">
        <v>128</v>
      </c>
      <c r="I18" s="55">
        <v>36.765999999999998</v>
      </c>
      <c r="J18" s="55" t="s">
        <v>129</v>
      </c>
      <c r="K18" s="55"/>
      <c r="L18" s="55"/>
      <c r="M18" s="55" t="s">
        <v>318</v>
      </c>
      <c r="N18" s="55" t="s">
        <v>79</v>
      </c>
      <c r="O18" s="55" t="s">
        <v>135</v>
      </c>
      <c r="P18" s="55">
        <v>1</v>
      </c>
    </row>
    <row r="19" spans="1:16" x14ac:dyDescent="0.2">
      <c r="A19" s="55" t="s">
        <v>282</v>
      </c>
      <c r="B19" s="55" t="s">
        <v>147</v>
      </c>
      <c r="C19" s="55" t="s">
        <v>288</v>
      </c>
      <c r="D19" s="55" t="s">
        <v>79</v>
      </c>
      <c r="E19" s="62" t="s">
        <v>134</v>
      </c>
      <c r="F19" s="55" t="s">
        <v>139</v>
      </c>
      <c r="G19" s="62" t="s">
        <v>127</v>
      </c>
      <c r="H19" s="55" t="s">
        <v>128</v>
      </c>
      <c r="I19" s="55">
        <v>7.452</v>
      </c>
      <c r="J19" s="55" t="s">
        <v>129</v>
      </c>
      <c r="K19" s="55"/>
      <c r="L19" s="55"/>
      <c r="M19" s="55" t="s">
        <v>318</v>
      </c>
      <c r="N19" s="55" t="s">
        <v>79</v>
      </c>
      <c r="O19" s="55" t="s">
        <v>135</v>
      </c>
      <c r="P19" s="55">
        <v>1</v>
      </c>
    </row>
    <row r="20" spans="1:16" x14ac:dyDescent="0.2">
      <c r="A20" s="55" t="s">
        <v>305</v>
      </c>
      <c r="B20" s="55" t="s">
        <v>147</v>
      </c>
      <c r="C20" s="55" t="s">
        <v>289</v>
      </c>
      <c r="D20" s="55" t="s">
        <v>79</v>
      </c>
      <c r="E20" s="62" t="s">
        <v>134</v>
      </c>
      <c r="F20" s="55" t="s">
        <v>139</v>
      </c>
      <c r="G20" s="62" t="s">
        <v>127</v>
      </c>
      <c r="H20" s="55" t="s">
        <v>128</v>
      </c>
      <c r="I20" s="55">
        <v>44.218000000000004</v>
      </c>
      <c r="J20" s="55" t="s">
        <v>129</v>
      </c>
      <c r="K20" s="55"/>
      <c r="L20" s="55"/>
      <c r="M20" s="55" t="s">
        <v>318</v>
      </c>
      <c r="N20" s="55" t="s">
        <v>79</v>
      </c>
      <c r="O20" s="55" t="s">
        <v>135</v>
      </c>
      <c r="P20" s="55">
        <v>1</v>
      </c>
    </row>
    <row r="21" spans="1:16" x14ac:dyDescent="0.2">
      <c r="A21" s="55" t="s">
        <v>306</v>
      </c>
      <c r="B21" s="55" t="s">
        <v>147</v>
      </c>
      <c r="C21" s="55" t="s">
        <v>325</v>
      </c>
      <c r="D21" s="55" t="s">
        <v>79</v>
      </c>
      <c r="E21" s="62" t="s">
        <v>134</v>
      </c>
      <c r="F21" s="55" t="s">
        <v>139</v>
      </c>
      <c r="G21" s="62" t="s">
        <v>127</v>
      </c>
      <c r="H21" s="55" t="s">
        <v>128</v>
      </c>
      <c r="I21" s="55">
        <v>38.094000000000001</v>
      </c>
      <c r="J21" s="55" t="s">
        <v>129</v>
      </c>
      <c r="K21" s="55"/>
      <c r="L21" s="55"/>
      <c r="M21" s="55" t="s">
        <v>319</v>
      </c>
      <c r="N21" s="55" t="s">
        <v>79</v>
      </c>
      <c r="O21" s="55" t="s">
        <v>135</v>
      </c>
      <c r="P21" s="55">
        <v>1</v>
      </c>
    </row>
    <row r="22" spans="1:16" x14ac:dyDescent="0.2">
      <c r="A22" s="55" t="s">
        <v>290</v>
      </c>
      <c r="B22" s="55" t="s">
        <v>147</v>
      </c>
      <c r="C22" s="55" t="s">
        <v>326</v>
      </c>
      <c r="D22" s="55" t="s">
        <v>79</v>
      </c>
      <c r="E22" s="62" t="s">
        <v>134</v>
      </c>
      <c r="F22" s="55" t="s">
        <v>139</v>
      </c>
      <c r="G22" s="62" t="s">
        <v>127</v>
      </c>
      <c r="H22" s="55" t="s">
        <v>128</v>
      </c>
      <c r="I22" s="55">
        <v>12.637</v>
      </c>
      <c r="J22" s="55" t="s">
        <v>129</v>
      </c>
      <c r="K22" s="55"/>
      <c r="L22" s="55"/>
      <c r="M22" s="55" t="s">
        <v>319</v>
      </c>
      <c r="N22" s="55" t="s">
        <v>79</v>
      </c>
      <c r="O22" s="55" t="s">
        <v>135</v>
      </c>
      <c r="P22" s="55">
        <v>1</v>
      </c>
    </row>
    <row r="23" spans="1:16" x14ac:dyDescent="0.2">
      <c r="A23" s="55" t="s">
        <v>307</v>
      </c>
      <c r="B23" s="55" t="s">
        <v>147</v>
      </c>
      <c r="C23" s="55" t="s">
        <v>327</v>
      </c>
      <c r="D23" s="55" t="s">
        <v>79</v>
      </c>
      <c r="E23" s="62" t="s">
        <v>134</v>
      </c>
      <c r="F23" s="55" t="s">
        <v>139</v>
      </c>
      <c r="G23" s="62" t="s">
        <v>127</v>
      </c>
      <c r="H23" s="55" t="s">
        <v>128</v>
      </c>
      <c r="I23" s="55">
        <v>50.731000000000002</v>
      </c>
      <c r="J23" s="55" t="s">
        <v>129</v>
      </c>
      <c r="K23" s="55"/>
      <c r="L23" s="55"/>
      <c r="M23" s="55" t="s">
        <v>319</v>
      </c>
      <c r="N23" s="55" t="s">
        <v>79</v>
      </c>
      <c r="O23" s="55" t="s">
        <v>135</v>
      </c>
      <c r="P23" s="55">
        <v>1</v>
      </c>
    </row>
    <row r="24" spans="1:16" x14ac:dyDescent="0.2">
      <c r="A24" s="55" t="s">
        <v>299</v>
      </c>
      <c r="B24" s="55" t="s">
        <v>147</v>
      </c>
      <c r="C24" s="55" t="s">
        <v>133</v>
      </c>
      <c r="D24" s="55" t="s">
        <v>79</v>
      </c>
      <c r="E24" s="62" t="s">
        <v>134</v>
      </c>
      <c r="F24" s="55" t="s">
        <v>139</v>
      </c>
      <c r="G24" s="62" t="s">
        <v>127</v>
      </c>
      <c r="H24" s="55" t="s">
        <v>128</v>
      </c>
      <c r="I24" s="55">
        <v>33.956000000000003</v>
      </c>
      <c r="J24" s="55" t="s">
        <v>129</v>
      </c>
      <c r="K24" s="55"/>
      <c r="L24" s="55"/>
      <c r="M24" s="55" t="s">
        <v>314</v>
      </c>
      <c r="N24" s="55" t="s">
        <v>79</v>
      </c>
      <c r="O24" s="55" t="s">
        <v>135</v>
      </c>
      <c r="P24" s="55">
        <v>2</v>
      </c>
    </row>
    <row r="25" spans="1:16" x14ac:dyDescent="0.2">
      <c r="A25" s="55" t="s">
        <v>308</v>
      </c>
      <c r="B25" s="55" t="s">
        <v>147</v>
      </c>
      <c r="C25" s="55" t="s">
        <v>133</v>
      </c>
      <c r="D25" s="55" t="s">
        <v>79</v>
      </c>
      <c r="E25" s="62" t="s">
        <v>134</v>
      </c>
      <c r="F25" s="55" t="s">
        <v>148</v>
      </c>
      <c r="G25" s="62" t="s">
        <v>127</v>
      </c>
      <c r="H25" s="55" t="s">
        <v>128</v>
      </c>
      <c r="I25" s="55">
        <v>30.356999999999999</v>
      </c>
      <c r="J25" s="55" t="s">
        <v>129</v>
      </c>
      <c r="K25" s="55"/>
      <c r="L25" s="55"/>
      <c r="M25" s="55" t="s">
        <v>320</v>
      </c>
      <c r="N25" s="55" t="s">
        <v>79</v>
      </c>
      <c r="O25" s="55" t="s">
        <v>135</v>
      </c>
      <c r="P25" s="55">
        <v>2</v>
      </c>
    </row>
    <row r="26" spans="1:16" x14ac:dyDescent="0.2">
      <c r="A26" s="55" t="s">
        <v>309</v>
      </c>
      <c r="B26" s="55" t="s">
        <v>147</v>
      </c>
      <c r="C26" s="55" t="s">
        <v>133</v>
      </c>
      <c r="D26" s="55" t="s">
        <v>79</v>
      </c>
      <c r="E26" s="62" t="s">
        <v>134</v>
      </c>
      <c r="F26" s="55" t="s">
        <v>139</v>
      </c>
      <c r="G26" s="62" t="s">
        <v>127</v>
      </c>
      <c r="H26" s="55" t="s">
        <v>128</v>
      </c>
      <c r="I26" s="55">
        <v>32.927999999999997</v>
      </c>
      <c r="J26" s="55" t="s">
        <v>129</v>
      </c>
      <c r="K26" s="55"/>
      <c r="L26" s="55"/>
      <c r="M26" s="55" t="s">
        <v>321</v>
      </c>
      <c r="N26" s="55" t="s">
        <v>79</v>
      </c>
      <c r="O26" s="55" t="s">
        <v>135</v>
      </c>
      <c r="P26" s="55">
        <v>2</v>
      </c>
    </row>
    <row r="27" spans="1:16" x14ac:dyDescent="0.2">
      <c r="A27" s="55" t="s">
        <v>310</v>
      </c>
      <c r="B27" s="55" t="s">
        <v>147</v>
      </c>
      <c r="C27" s="55" t="s">
        <v>313</v>
      </c>
      <c r="D27" s="55" t="s">
        <v>79</v>
      </c>
      <c r="E27" s="62" t="s">
        <v>134</v>
      </c>
      <c r="F27" s="55" t="s">
        <v>139</v>
      </c>
      <c r="G27" s="62" t="s">
        <v>127</v>
      </c>
      <c r="H27" s="55" t="s">
        <v>128</v>
      </c>
      <c r="I27" s="55">
        <v>28.341999999999999</v>
      </c>
      <c r="J27" s="55" t="s">
        <v>129</v>
      </c>
      <c r="K27" s="55"/>
      <c r="L27" s="55"/>
      <c r="M27" s="55" t="s">
        <v>322</v>
      </c>
      <c r="N27" s="55" t="s">
        <v>79</v>
      </c>
      <c r="O27" s="55" t="s">
        <v>135</v>
      </c>
      <c r="P27" s="55">
        <v>2</v>
      </c>
    </row>
    <row r="28" spans="1:16" x14ac:dyDescent="0.2">
      <c r="A28" s="55" t="s">
        <v>311</v>
      </c>
      <c r="B28" s="55" t="s">
        <v>147</v>
      </c>
      <c r="C28" s="55" t="s">
        <v>133</v>
      </c>
      <c r="D28" s="55" t="s">
        <v>142</v>
      </c>
      <c r="E28" s="62" t="s">
        <v>134</v>
      </c>
      <c r="F28" s="55" t="s">
        <v>139</v>
      </c>
      <c r="G28" s="62" t="s">
        <v>127</v>
      </c>
      <c r="H28" s="55" t="s">
        <v>128</v>
      </c>
      <c r="I28" s="55">
        <v>28.518999999999998</v>
      </c>
      <c r="J28" s="55" t="s">
        <v>129</v>
      </c>
      <c r="K28" s="55"/>
      <c r="L28" s="55"/>
      <c r="M28" s="55" t="s">
        <v>323</v>
      </c>
      <c r="N28" s="55" t="s">
        <v>79</v>
      </c>
      <c r="O28" s="55" t="s">
        <v>135</v>
      </c>
      <c r="P28" s="55">
        <v>2</v>
      </c>
    </row>
    <row r="29" spans="1:16" x14ac:dyDescent="0.2">
      <c r="A29" s="55" t="s">
        <v>312</v>
      </c>
      <c r="B29" s="55" t="s">
        <v>147</v>
      </c>
      <c r="C29" s="55" t="s">
        <v>133</v>
      </c>
      <c r="D29" s="55" t="s">
        <v>142</v>
      </c>
      <c r="E29" s="62" t="s">
        <v>134</v>
      </c>
      <c r="F29" s="55" t="s">
        <v>139</v>
      </c>
      <c r="G29" s="62" t="s">
        <v>127</v>
      </c>
      <c r="H29" s="55" t="s">
        <v>128</v>
      </c>
      <c r="I29" s="55">
        <v>30.427</v>
      </c>
      <c r="J29" s="55" t="s">
        <v>129</v>
      </c>
      <c r="K29" s="55"/>
      <c r="L29" s="55"/>
      <c r="M29" s="55" t="s">
        <v>324</v>
      </c>
      <c r="N29" s="55" t="s">
        <v>79</v>
      </c>
      <c r="O29" s="55" t="s">
        <v>135</v>
      </c>
      <c r="P29" s="55">
        <v>2</v>
      </c>
    </row>
    <row r="30" spans="1:16" x14ac:dyDescent="0.2">
      <c r="A30" s="55"/>
      <c r="B30" s="55"/>
      <c r="C30" s="55"/>
      <c r="D30" s="55"/>
      <c r="E30" s="62"/>
      <c r="F30" s="55"/>
      <c r="G30" s="62"/>
      <c r="H30" s="55"/>
      <c r="I30" s="55"/>
      <c r="J30" s="55"/>
      <c r="K30" s="55"/>
      <c r="L30" s="55"/>
      <c r="M30" s="55"/>
      <c r="N30" s="55"/>
      <c r="O30" s="55"/>
      <c r="P30" s="55"/>
    </row>
    <row r="31" spans="1:16" x14ac:dyDescent="0.2">
      <c r="A31" s="55"/>
      <c r="B31" s="55"/>
      <c r="C31" s="55"/>
      <c r="D31" s="55"/>
      <c r="E31" s="62"/>
      <c r="F31" s="55"/>
      <c r="G31" s="62"/>
      <c r="H31" s="55"/>
      <c r="I31" s="55"/>
      <c r="J31" s="55"/>
      <c r="K31" s="55"/>
      <c r="L31" s="55"/>
      <c r="M31" s="55"/>
      <c r="N31" s="55"/>
      <c r="O31" s="55"/>
      <c r="P31" s="55"/>
    </row>
    <row r="32" spans="1:16" x14ac:dyDescent="0.2">
      <c r="A32" s="55"/>
      <c r="B32" s="55"/>
      <c r="C32" s="55"/>
      <c r="D32" s="55"/>
      <c r="E32" s="62"/>
      <c r="F32" s="55"/>
      <c r="G32" s="62"/>
      <c r="H32" s="55"/>
      <c r="I32" s="55"/>
      <c r="J32" s="55"/>
      <c r="K32" s="55"/>
      <c r="L32" s="55"/>
      <c r="M32" s="55"/>
      <c r="N32" s="55"/>
      <c r="O32" s="55"/>
      <c r="P32" s="55"/>
    </row>
    <row r="33" spans="1:16" x14ac:dyDescent="0.2">
      <c r="A33" s="55"/>
      <c r="B33" s="55"/>
      <c r="C33" s="55"/>
      <c r="D33" s="55"/>
      <c r="E33" s="62"/>
      <c r="F33" s="55"/>
      <c r="G33" s="62"/>
      <c r="H33" s="55"/>
      <c r="I33" s="55"/>
      <c r="J33" s="55"/>
      <c r="K33" s="55"/>
      <c r="L33" s="55"/>
      <c r="M33" s="55"/>
      <c r="N33" s="55"/>
      <c r="O33" s="55"/>
      <c r="P33" s="55"/>
    </row>
    <row r="34" spans="1:16" x14ac:dyDescent="0.2">
      <c r="A34" s="55"/>
      <c r="B34" s="55"/>
      <c r="C34" s="55"/>
      <c r="D34" s="55"/>
      <c r="E34" s="62"/>
      <c r="F34" s="55"/>
      <c r="G34" s="62"/>
      <c r="H34" s="55"/>
      <c r="I34" s="55"/>
      <c r="J34" s="55"/>
      <c r="K34" s="55"/>
      <c r="L34" s="55"/>
      <c r="M34" s="55"/>
      <c r="N34" s="55"/>
      <c r="O34" s="55"/>
      <c r="P34" s="55"/>
    </row>
    <row r="35" spans="1:16" x14ac:dyDescent="0.2">
      <c r="A35" s="55"/>
      <c r="B35" s="55"/>
      <c r="C35" s="55"/>
      <c r="D35" s="55"/>
      <c r="E35" s="62"/>
      <c r="F35" s="55"/>
      <c r="G35" s="62"/>
      <c r="H35" s="55"/>
      <c r="I35" s="55"/>
      <c r="J35" s="55"/>
      <c r="K35" s="55"/>
      <c r="L35" s="55"/>
      <c r="M35" s="55"/>
      <c r="N35" s="55"/>
      <c r="O35" s="55"/>
      <c r="P35" s="55"/>
    </row>
    <row r="36" spans="1:16" x14ac:dyDescent="0.2">
      <c r="A36" s="55"/>
      <c r="B36" s="55"/>
      <c r="C36" s="55"/>
      <c r="D36" s="55"/>
      <c r="E36" s="62"/>
      <c r="F36" s="55"/>
      <c r="G36" s="62"/>
      <c r="H36" s="55"/>
      <c r="I36" s="55"/>
      <c r="J36" s="55"/>
      <c r="K36" s="55"/>
      <c r="L36" s="55"/>
      <c r="M36" s="55"/>
      <c r="N36" s="55"/>
      <c r="O36" s="55"/>
      <c r="P36" s="55"/>
    </row>
    <row r="37" spans="1:16" x14ac:dyDescent="0.2">
      <c r="A37" s="55"/>
      <c r="B37" s="55"/>
      <c r="C37" s="55"/>
      <c r="D37" s="55"/>
      <c r="E37" s="62"/>
      <c r="F37" s="55"/>
      <c r="G37" s="62"/>
      <c r="H37" s="55"/>
      <c r="I37" s="55"/>
      <c r="J37" s="55"/>
      <c r="K37" s="55"/>
      <c r="L37" s="55"/>
      <c r="M37" s="55"/>
      <c r="N37" s="55"/>
      <c r="O37" s="55"/>
      <c r="P37" s="55"/>
    </row>
    <row r="38" spans="1:16" x14ac:dyDescent="0.2">
      <c r="A38" s="55"/>
      <c r="B38" s="55"/>
      <c r="C38" s="55"/>
      <c r="D38" s="55"/>
      <c r="E38" s="62"/>
      <c r="F38" s="55"/>
      <c r="G38" s="62"/>
      <c r="H38" s="55"/>
      <c r="I38" s="55"/>
      <c r="J38" s="55"/>
      <c r="K38" s="55"/>
      <c r="L38" s="55"/>
      <c r="M38" s="55"/>
      <c r="N38" s="55"/>
      <c r="O38" s="55"/>
      <c r="P38" s="55"/>
    </row>
    <row r="39" spans="1:16" x14ac:dyDescent="0.2">
      <c r="A39" s="55"/>
      <c r="B39" s="55"/>
      <c r="C39" s="55"/>
      <c r="D39" s="55"/>
      <c r="E39" s="62"/>
      <c r="F39" s="55"/>
      <c r="G39" s="62"/>
      <c r="H39" s="55"/>
      <c r="I39" s="55"/>
      <c r="J39" s="55"/>
      <c r="K39" s="55"/>
      <c r="L39" s="55"/>
      <c r="M39" s="55"/>
      <c r="N39" s="55"/>
      <c r="O39" s="55"/>
      <c r="P39" s="55"/>
    </row>
    <row r="40" spans="1:16" x14ac:dyDescent="0.2">
      <c r="A40" s="55"/>
      <c r="B40" s="55"/>
      <c r="C40" s="55"/>
      <c r="D40" s="55"/>
      <c r="E40" s="62"/>
      <c r="F40" s="55"/>
      <c r="G40" s="62"/>
      <c r="H40" s="55"/>
      <c r="I40" s="55"/>
      <c r="J40" s="55"/>
      <c r="K40" s="55"/>
      <c r="L40" s="55"/>
      <c r="M40" s="55"/>
      <c r="N40" s="55"/>
      <c r="O40" s="55"/>
      <c r="P40" s="55"/>
    </row>
    <row r="41" spans="1:16" x14ac:dyDescent="0.2">
      <c r="A41" s="55"/>
      <c r="B41" s="55"/>
      <c r="C41" s="55"/>
      <c r="D41" s="55"/>
      <c r="E41" s="62"/>
      <c r="F41" s="55"/>
      <c r="G41" s="62"/>
      <c r="H41" s="55"/>
      <c r="I41" s="55"/>
      <c r="J41" s="55"/>
      <c r="K41" s="55"/>
      <c r="L41" s="55"/>
      <c r="M41" s="55"/>
      <c r="N41" s="55"/>
      <c r="O41" s="55"/>
      <c r="P41" s="55"/>
    </row>
    <row r="42" spans="1:16" x14ac:dyDescent="0.2">
      <c r="A42" s="55"/>
      <c r="B42" s="55"/>
      <c r="C42" s="55"/>
      <c r="D42" s="55"/>
      <c r="E42" s="62"/>
      <c r="F42" s="55"/>
      <c r="G42" s="62"/>
      <c r="H42" s="55"/>
      <c r="I42" s="55"/>
      <c r="J42" s="55"/>
      <c r="K42" s="55"/>
      <c r="L42" s="55"/>
      <c r="M42" s="55"/>
      <c r="N42" s="55"/>
      <c r="O42" s="55"/>
      <c r="P42" s="55"/>
    </row>
    <row r="43" spans="1:16" x14ac:dyDescent="0.2">
      <c r="A43" s="55"/>
      <c r="B43" s="55"/>
      <c r="C43" s="55"/>
      <c r="D43" s="55"/>
      <c r="E43" s="62"/>
      <c r="F43" s="55"/>
      <c r="G43" s="62"/>
      <c r="H43" s="55"/>
      <c r="I43" s="55"/>
      <c r="J43" s="55"/>
      <c r="K43" s="55"/>
      <c r="L43" s="55"/>
      <c r="M43" s="55"/>
      <c r="N43" s="55"/>
      <c r="O43" s="55"/>
      <c r="P43" s="55"/>
    </row>
    <row r="44" spans="1:16" x14ac:dyDescent="0.2">
      <c r="A44" s="55"/>
      <c r="B44" s="55"/>
      <c r="C44" s="55"/>
      <c r="D44" s="55"/>
      <c r="E44" s="62"/>
      <c r="F44" s="55"/>
      <c r="G44" s="62"/>
      <c r="H44" s="55"/>
      <c r="I44" s="55"/>
      <c r="J44" s="55"/>
      <c r="K44" s="55"/>
      <c r="L44" s="55"/>
      <c r="M44" s="55"/>
      <c r="N44" s="55"/>
      <c r="O44" s="55"/>
      <c r="P44" s="55"/>
    </row>
    <row r="45" spans="1:16" x14ac:dyDescent="0.2">
      <c r="A45" s="55"/>
      <c r="B45" s="55"/>
      <c r="C45" s="55"/>
      <c r="D45" s="55"/>
      <c r="E45" s="62"/>
      <c r="F45" s="55"/>
      <c r="G45" s="62"/>
      <c r="H45" s="55"/>
      <c r="I45" s="55"/>
      <c r="J45" s="55"/>
      <c r="K45" s="55"/>
      <c r="L45" s="55"/>
      <c r="M45" s="55"/>
      <c r="N45" s="55"/>
      <c r="O45" s="55"/>
      <c r="P45" s="55"/>
    </row>
    <row r="46" spans="1:16" x14ac:dyDescent="0.2">
      <c r="A46" s="55"/>
      <c r="B46" s="55"/>
      <c r="C46" s="55"/>
      <c r="D46" s="55"/>
      <c r="E46" s="62"/>
      <c r="F46" s="55"/>
      <c r="G46" s="62"/>
      <c r="H46" s="55"/>
      <c r="I46" s="55"/>
      <c r="J46" s="55"/>
      <c r="K46" s="55"/>
      <c r="L46" s="55"/>
      <c r="M46" s="55"/>
      <c r="N46" s="55"/>
      <c r="O46" s="55"/>
      <c r="P46" s="55"/>
    </row>
    <row r="47" spans="1:16" x14ac:dyDescent="0.2">
      <c r="A47" s="55"/>
      <c r="B47" s="55"/>
      <c r="C47" s="55"/>
      <c r="D47" s="55"/>
      <c r="E47" s="62"/>
      <c r="F47" s="55"/>
      <c r="G47" s="62"/>
      <c r="H47" s="55"/>
      <c r="I47" s="55"/>
      <c r="J47" s="55"/>
      <c r="K47" s="55"/>
      <c r="L47" s="55"/>
      <c r="M47" s="55"/>
      <c r="N47" s="55"/>
      <c r="O47" s="55"/>
      <c r="P47" s="55"/>
    </row>
    <row r="48" spans="1:16" x14ac:dyDescent="0.2">
      <c r="A48" s="55"/>
      <c r="B48" s="55"/>
      <c r="C48" s="55"/>
      <c r="D48" s="55"/>
      <c r="E48" s="62"/>
      <c r="F48" s="55"/>
      <c r="G48" s="62"/>
      <c r="H48" s="55"/>
      <c r="I48" s="55"/>
      <c r="J48" s="55"/>
      <c r="K48" s="55"/>
      <c r="L48" s="55"/>
      <c r="M48" s="55"/>
      <c r="N48" s="55"/>
      <c r="O48" s="55"/>
      <c r="P48" s="55"/>
    </row>
    <row r="49" spans="1:16" x14ac:dyDescent="0.2">
      <c r="A49" s="55"/>
      <c r="B49" s="55"/>
      <c r="C49" s="55"/>
      <c r="D49" s="55"/>
      <c r="E49" s="62"/>
      <c r="F49" s="55"/>
      <c r="G49" s="62"/>
      <c r="H49" s="55"/>
      <c r="I49" s="55"/>
      <c r="J49" s="55"/>
      <c r="K49" s="55"/>
      <c r="L49" s="55"/>
      <c r="M49" s="55"/>
      <c r="N49" s="55"/>
      <c r="O49" s="55"/>
      <c r="P49" s="55"/>
    </row>
    <row r="50" spans="1:16" x14ac:dyDescent="0.2">
      <c r="A50" s="55"/>
      <c r="B50" s="55"/>
      <c r="C50" s="55"/>
      <c r="D50" s="55"/>
      <c r="E50" s="62"/>
      <c r="F50" s="55"/>
      <c r="G50" s="62"/>
      <c r="H50" s="55"/>
      <c r="I50" s="55"/>
      <c r="J50" s="55"/>
      <c r="K50" s="55"/>
      <c r="L50" s="55"/>
      <c r="M50" s="55"/>
      <c r="N50" s="55"/>
      <c r="O50" s="55"/>
      <c r="P50" s="55"/>
    </row>
    <row r="51" spans="1:16" x14ac:dyDescent="0.2">
      <c r="A51" s="55"/>
      <c r="B51" s="55"/>
      <c r="C51" s="55"/>
      <c r="D51" s="55"/>
      <c r="E51" s="62"/>
      <c r="F51" s="55"/>
      <c r="G51" s="62"/>
      <c r="H51" s="55"/>
      <c r="I51" s="55"/>
      <c r="J51" s="55"/>
      <c r="K51" s="55"/>
      <c r="L51" s="55"/>
      <c r="M51" s="55"/>
      <c r="N51" s="55"/>
      <c r="O51" s="55"/>
      <c r="P51" s="55"/>
    </row>
    <row r="52" spans="1:16" x14ac:dyDescent="0.2">
      <c r="A52" s="55"/>
      <c r="B52" s="55"/>
      <c r="C52" s="55"/>
      <c r="D52" s="55"/>
      <c r="E52" s="62"/>
      <c r="F52" s="55"/>
      <c r="G52" s="62"/>
      <c r="H52" s="55"/>
      <c r="I52" s="55"/>
      <c r="J52" s="55"/>
      <c r="K52" s="55"/>
      <c r="L52" s="55"/>
      <c r="M52" s="55"/>
      <c r="N52" s="55"/>
      <c r="O52" s="55"/>
      <c r="P52" s="55"/>
    </row>
    <row r="53" spans="1:16" x14ac:dyDescent="0.2">
      <c r="A53" s="55"/>
      <c r="B53" s="55"/>
      <c r="C53" s="55"/>
      <c r="D53" s="55"/>
      <c r="E53" s="62"/>
      <c r="F53" s="55"/>
      <c r="G53" s="62"/>
      <c r="H53" s="55"/>
      <c r="I53" s="55"/>
      <c r="J53" s="55"/>
      <c r="K53" s="55"/>
      <c r="L53" s="55"/>
      <c r="M53" s="55"/>
      <c r="N53" s="55"/>
      <c r="O53" s="55"/>
      <c r="P53" s="55"/>
    </row>
    <row r="54" spans="1:16" x14ac:dyDescent="0.2">
      <c r="A54" s="55"/>
      <c r="B54" s="55"/>
      <c r="C54" s="55"/>
      <c r="D54" s="55"/>
      <c r="E54" s="62"/>
      <c r="F54" s="55"/>
      <c r="G54" s="62"/>
      <c r="H54" s="55"/>
      <c r="I54" s="55"/>
      <c r="J54" s="55"/>
      <c r="K54" s="55"/>
      <c r="L54" s="55"/>
      <c r="M54" s="55"/>
      <c r="N54" s="55"/>
      <c r="O54" s="55"/>
      <c r="P54" s="55"/>
    </row>
    <row r="55" spans="1:16" x14ac:dyDescent="0.2">
      <c r="A55" s="55"/>
      <c r="B55" s="55"/>
      <c r="C55" s="55"/>
      <c r="D55" s="55"/>
      <c r="E55" s="62"/>
      <c r="F55" s="55"/>
      <c r="G55" s="62"/>
      <c r="H55" s="55"/>
      <c r="I55" s="55"/>
      <c r="J55" s="55"/>
      <c r="K55" s="55"/>
      <c r="L55" s="55"/>
      <c r="M55" s="55"/>
      <c r="N55" s="55"/>
      <c r="O55" s="55"/>
      <c r="P55" s="55"/>
    </row>
    <row r="56" spans="1:16" x14ac:dyDescent="0.2">
      <c r="A56" s="55"/>
      <c r="B56" s="55"/>
      <c r="C56" s="55"/>
      <c r="D56" s="55"/>
      <c r="E56" s="62"/>
      <c r="F56" s="55"/>
      <c r="G56" s="62"/>
      <c r="H56" s="55"/>
      <c r="I56" s="55"/>
      <c r="J56" s="55"/>
      <c r="K56" s="55"/>
      <c r="L56" s="55"/>
      <c r="M56" s="55"/>
      <c r="N56" s="55"/>
      <c r="O56" s="55"/>
      <c r="P56" s="55"/>
    </row>
    <row r="57" spans="1:16" x14ac:dyDescent="0.2">
      <c r="A57" s="55"/>
      <c r="B57" s="55"/>
      <c r="C57" s="55"/>
      <c r="D57" s="55"/>
      <c r="E57" s="62"/>
      <c r="F57" s="55"/>
      <c r="G57" s="62"/>
      <c r="H57" s="55"/>
      <c r="I57" s="55"/>
      <c r="J57" s="55"/>
      <c r="K57" s="55"/>
      <c r="L57" s="55"/>
      <c r="M57" s="55"/>
      <c r="N57" s="55"/>
      <c r="O57" s="55"/>
      <c r="P57" s="55"/>
    </row>
    <row r="58" spans="1:16" x14ac:dyDescent="0.2">
      <c r="A58" s="55"/>
      <c r="B58" s="55"/>
      <c r="C58" s="55"/>
      <c r="D58" s="55"/>
      <c r="E58" s="62"/>
      <c r="F58" s="55"/>
      <c r="G58" s="62"/>
      <c r="H58" s="55"/>
      <c r="I58" s="55"/>
      <c r="J58" s="55"/>
      <c r="K58" s="55"/>
      <c r="L58" s="55"/>
      <c r="M58" s="55"/>
      <c r="N58" s="55"/>
      <c r="O58" s="55"/>
      <c r="P58" s="55"/>
    </row>
    <row r="59" spans="1:16" x14ac:dyDescent="0.2">
      <c r="A59" s="55"/>
      <c r="B59" s="55"/>
      <c r="C59" s="55"/>
      <c r="D59" s="55"/>
      <c r="E59" s="62"/>
      <c r="F59" s="55"/>
      <c r="G59" s="62"/>
      <c r="H59" s="55"/>
      <c r="I59" s="55"/>
      <c r="J59" s="55"/>
      <c r="K59" s="55"/>
      <c r="L59" s="55"/>
      <c r="M59" s="55"/>
      <c r="N59" s="55"/>
      <c r="O59" s="55"/>
      <c r="P59" s="55"/>
    </row>
    <row r="60" spans="1:16" x14ac:dyDescent="0.2">
      <c r="A60" s="55"/>
      <c r="B60" s="55"/>
      <c r="C60" s="55"/>
      <c r="D60" s="55"/>
      <c r="E60" s="62"/>
      <c r="F60" s="55"/>
      <c r="G60" s="62"/>
      <c r="H60" s="55"/>
      <c r="I60" s="55"/>
      <c r="J60" s="55"/>
      <c r="K60" s="55"/>
      <c r="L60" s="55"/>
      <c r="M60" s="55"/>
      <c r="N60" s="55"/>
      <c r="O60" s="55"/>
      <c r="P60" s="55"/>
    </row>
    <row r="61" spans="1:16" x14ac:dyDescent="0.2">
      <c r="A61" s="55"/>
      <c r="B61" s="55"/>
      <c r="C61" s="55"/>
      <c r="D61" s="55"/>
      <c r="E61" s="62"/>
      <c r="F61" s="55"/>
      <c r="G61" s="62"/>
      <c r="H61" s="55"/>
      <c r="I61" s="55"/>
      <c r="J61" s="55"/>
      <c r="K61" s="55"/>
      <c r="L61" s="55"/>
      <c r="M61" s="55"/>
      <c r="N61" s="55"/>
      <c r="O61" s="55"/>
      <c r="P61" s="55"/>
    </row>
    <row r="62" spans="1:16" x14ac:dyDescent="0.2">
      <c r="A62" s="55"/>
      <c r="B62" s="55"/>
      <c r="C62" s="55"/>
      <c r="D62" s="55"/>
      <c r="E62" s="62"/>
      <c r="F62" s="55"/>
      <c r="G62" s="62"/>
      <c r="H62" s="55"/>
      <c r="I62" s="55"/>
      <c r="J62" s="55"/>
      <c r="K62" s="55"/>
      <c r="L62" s="55"/>
      <c r="M62" s="55"/>
      <c r="N62" s="55"/>
      <c r="O62" s="55"/>
      <c r="P62" s="55"/>
    </row>
    <row r="63" spans="1:16" x14ac:dyDescent="0.2">
      <c r="A63" s="55"/>
      <c r="B63" s="55"/>
      <c r="C63" s="55"/>
      <c r="D63" s="55"/>
      <c r="E63" s="62"/>
      <c r="F63" s="55"/>
      <c r="G63" s="62"/>
      <c r="H63" s="55"/>
      <c r="I63" s="55"/>
      <c r="J63" s="55"/>
      <c r="K63" s="55"/>
      <c r="L63" s="55"/>
      <c r="M63" s="55"/>
      <c r="N63" s="55"/>
      <c r="O63" s="55"/>
      <c r="P63" s="55"/>
    </row>
    <row r="64" spans="1:16" x14ac:dyDescent="0.2">
      <c r="A64" s="55"/>
      <c r="B64" s="55"/>
      <c r="C64" s="55"/>
      <c r="D64" s="55"/>
      <c r="E64" s="62"/>
      <c r="F64" s="55"/>
      <c r="G64" s="62"/>
      <c r="H64" s="55"/>
      <c r="I64" s="55"/>
      <c r="J64" s="55"/>
      <c r="K64" s="55"/>
      <c r="L64" s="55"/>
      <c r="M64" s="55"/>
      <c r="N64" s="55"/>
      <c r="O64" s="55"/>
      <c r="P64" s="55"/>
    </row>
    <row r="65" spans="1:16" x14ac:dyDescent="0.2">
      <c r="A65" s="55"/>
      <c r="B65" s="55"/>
      <c r="C65" s="55"/>
      <c r="D65" s="55"/>
      <c r="E65" s="62"/>
      <c r="F65" s="55"/>
      <c r="G65" s="62"/>
      <c r="H65" s="55"/>
      <c r="I65" s="55"/>
      <c r="J65" s="55"/>
      <c r="K65" s="55"/>
      <c r="L65" s="55"/>
      <c r="M65" s="55"/>
      <c r="N65" s="55"/>
      <c r="O65" s="55"/>
      <c r="P65" s="55"/>
    </row>
    <row r="66" spans="1:16" x14ac:dyDescent="0.2">
      <c r="A66" s="55"/>
      <c r="B66" s="55"/>
      <c r="C66" s="55"/>
      <c r="D66" s="55"/>
      <c r="E66" s="62"/>
      <c r="F66" s="55"/>
      <c r="G66" s="62"/>
      <c r="H66" s="55"/>
      <c r="I66" s="55"/>
      <c r="J66" s="55"/>
      <c r="K66" s="55"/>
      <c r="L66" s="55"/>
      <c r="M66" s="55"/>
      <c r="N66" s="55"/>
      <c r="O66" s="55"/>
      <c r="P66" s="55"/>
    </row>
    <row r="67" spans="1:16" x14ac:dyDescent="0.2">
      <c r="A67" s="55"/>
      <c r="B67" s="55"/>
      <c r="C67" s="55"/>
      <c r="D67" s="55"/>
      <c r="E67" s="62"/>
      <c r="F67" s="55"/>
      <c r="G67" s="62"/>
      <c r="H67" s="55"/>
      <c r="I67" s="55"/>
      <c r="J67" s="55"/>
      <c r="K67" s="55"/>
      <c r="L67" s="55"/>
      <c r="M67" s="55"/>
      <c r="N67" s="55"/>
      <c r="O67" s="55"/>
      <c r="P67" s="55"/>
    </row>
    <row r="68" spans="1:16" x14ac:dyDescent="0.2">
      <c r="A68" s="55"/>
      <c r="B68" s="55"/>
      <c r="C68" s="55"/>
      <c r="D68" s="55"/>
      <c r="E68" s="62"/>
      <c r="F68" s="55"/>
      <c r="G68" s="62"/>
      <c r="H68" s="55"/>
      <c r="I68" s="55"/>
      <c r="J68" s="55"/>
      <c r="K68" s="55"/>
      <c r="L68" s="55"/>
      <c r="M68" s="55"/>
      <c r="N68" s="55"/>
      <c r="O68" s="55"/>
      <c r="P68" s="55"/>
    </row>
    <row r="69" spans="1:16" x14ac:dyDescent="0.2">
      <c r="A69" s="55"/>
      <c r="B69" s="55"/>
      <c r="C69" s="55"/>
      <c r="D69" s="55"/>
      <c r="E69" s="62"/>
      <c r="F69" s="55"/>
      <c r="G69" s="62"/>
      <c r="H69" s="55"/>
      <c r="I69" s="55"/>
      <c r="J69" s="55"/>
      <c r="K69" s="55"/>
      <c r="L69" s="55"/>
      <c r="M69" s="55"/>
      <c r="N69" s="55"/>
      <c r="O69" s="55"/>
      <c r="P69" s="55"/>
    </row>
    <row r="70" spans="1:16" x14ac:dyDescent="0.2">
      <c r="A70" s="55"/>
      <c r="B70" s="55"/>
      <c r="C70" s="55"/>
      <c r="D70" s="55"/>
      <c r="E70" s="62"/>
      <c r="F70" s="55"/>
      <c r="G70" s="62"/>
      <c r="H70" s="55"/>
      <c r="I70" s="55"/>
      <c r="J70" s="55"/>
      <c r="K70" s="55"/>
      <c r="L70" s="55"/>
      <c r="M70" s="55"/>
      <c r="N70" s="55"/>
      <c r="O70" s="55"/>
      <c r="P70" s="55"/>
    </row>
    <row r="71" spans="1:16" x14ac:dyDescent="0.2">
      <c r="A71" s="55"/>
      <c r="B71" s="55"/>
      <c r="C71" s="55"/>
      <c r="D71" s="55"/>
      <c r="E71" s="62"/>
      <c r="F71" s="55"/>
      <c r="G71" s="62"/>
      <c r="H71" s="55"/>
      <c r="I71" s="55"/>
      <c r="J71" s="55"/>
      <c r="K71" s="55"/>
      <c r="L71" s="55"/>
      <c r="M71" s="55"/>
      <c r="N71" s="55"/>
      <c r="O71" s="55"/>
      <c r="P71" s="55"/>
    </row>
    <row r="72" spans="1:16" x14ac:dyDescent="0.2">
      <c r="A72" s="55"/>
      <c r="B72" s="55"/>
      <c r="C72" s="55"/>
      <c r="D72" s="55"/>
      <c r="E72" s="62"/>
      <c r="F72" s="55"/>
      <c r="G72" s="62"/>
      <c r="H72" s="55"/>
      <c r="I72" s="55"/>
      <c r="J72" s="55"/>
      <c r="K72" s="55"/>
      <c r="L72" s="55"/>
      <c r="M72" s="55"/>
      <c r="N72" s="55"/>
      <c r="O72" s="55"/>
      <c r="P72" s="55"/>
    </row>
    <row r="73" spans="1:16" x14ac:dyDescent="0.2">
      <c r="A73" s="55"/>
      <c r="B73" s="55"/>
      <c r="C73" s="55"/>
      <c r="D73" s="55"/>
      <c r="E73" s="62"/>
      <c r="F73" s="55"/>
      <c r="G73" s="62"/>
      <c r="H73" s="55"/>
      <c r="I73" s="55"/>
      <c r="J73" s="55"/>
      <c r="K73" s="55"/>
      <c r="L73" s="55"/>
      <c r="M73" s="55"/>
      <c r="N73" s="55"/>
      <c r="O73" s="55"/>
      <c r="P73" s="55"/>
    </row>
    <row r="74" spans="1:16" x14ac:dyDescent="0.2">
      <c r="A74" s="55"/>
      <c r="B74" s="55"/>
      <c r="C74" s="55"/>
      <c r="D74" s="55"/>
      <c r="E74" s="62"/>
      <c r="F74" s="55"/>
      <c r="G74" s="62"/>
      <c r="H74" s="55"/>
      <c r="I74" s="55"/>
      <c r="J74" s="55"/>
      <c r="K74" s="55"/>
      <c r="L74" s="55"/>
      <c r="M74" s="55"/>
      <c r="N74" s="55"/>
      <c r="O74" s="55"/>
      <c r="P74" s="55"/>
    </row>
    <row r="75" spans="1:16" x14ac:dyDescent="0.2">
      <c r="A75" s="55"/>
      <c r="B75" s="55"/>
      <c r="C75" s="55"/>
      <c r="D75" s="55"/>
      <c r="E75" s="62"/>
      <c r="F75" s="55"/>
      <c r="G75" s="62"/>
      <c r="H75" s="55"/>
      <c r="I75" s="55"/>
      <c r="J75" s="55"/>
      <c r="K75" s="55"/>
      <c r="L75" s="55"/>
      <c r="M75" s="55"/>
      <c r="N75" s="55"/>
      <c r="O75" s="55"/>
      <c r="P75" s="55"/>
    </row>
    <row r="76" spans="1:16" x14ac:dyDescent="0.2">
      <c r="A76" s="55"/>
      <c r="B76" s="55"/>
      <c r="C76" s="55"/>
      <c r="D76" s="55"/>
      <c r="E76" s="62"/>
      <c r="F76" s="55"/>
      <c r="G76" s="62"/>
      <c r="H76" s="55"/>
      <c r="I76" s="55"/>
      <c r="J76" s="55"/>
      <c r="K76" s="55"/>
      <c r="L76" s="55"/>
      <c r="M76" s="55"/>
      <c r="N76" s="55"/>
      <c r="O76" s="55"/>
      <c r="P76" s="55"/>
    </row>
    <row r="77" spans="1:16" x14ac:dyDescent="0.2">
      <c r="A77" s="55"/>
      <c r="B77" s="55"/>
      <c r="C77" s="55"/>
      <c r="D77" s="55"/>
      <c r="E77" s="62"/>
      <c r="F77" s="55"/>
      <c r="G77" s="62"/>
      <c r="H77" s="55"/>
      <c r="I77" s="55"/>
      <c r="J77" s="55"/>
      <c r="K77" s="55"/>
      <c r="L77" s="55"/>
      <c r="M77" s="55"/>
      <c r="N77" s="55"/>
      <c r="O77" s="55"/>
      <c r="P77" s="55"/>
    </row>
    <row r="78" spans="1:16" x14ac:dyDescent="0.2">
      <c r="A78" s="55"/>
      <c r="B78" s="55"/>
      <c r="C78" s="55"/>
      <c r="D78" s="55"/>
      <c r="E78" s="62"/>
      <c r="F78" s="55"/>
      <c r="G78" s="62"/>
      <c r="H78" s="55"/>
      <c r="I78" s="55"/>
      <c r="J78" s="55"/>
      <c r="K78" s="55"/>
      <c r="L78" s="55"/>
      <c r="M78" s="55"/>
      <c r="N78" s="55"/>
      <c r="O78" s="55"/>
      <c r="P78" s="55"/>
    </row>
    <row r="79" spans="1:16" x14ac:dyDescent="0.2">
      <c r="A79" s="55"/>
      <c r="B79" s="55"/>
      <c r="C79" s="55"/>
      <c r="D79" s="55"/>
      <c r="E79" s="62"/>
      <c r="F79" s="55"/>
      <c r="G79" s="62"/>
      <c r="H79" s="55"/>
      <c r="I79" s="55"/>
      <c r="J79" s="55"/>
      <c r="K79" s="55"/>
      <c r="L79" s="55"/>
      <c r="M79" s="55"/>
      <c r="N79" s="55"/>
      <c r="O79" s="55"/>
      <c r="P79" s="55"/>
    </row>
    <row r="80" spans="1:16" x14ac:dyDescent="0.2">
      <c r="A80" s="55"/>
      <c r="B80" s="55"/>
      <c r="C80" s="55"/>
      <c r="D80" s="55"/>
      <c r="E80" s="62"/>
      <c r="F80" s="55"/>
      <c r="G80" s="62"/>
      <c r="H80" s="55"/>
      <c r="I80" s="55"/>
      <c r="J80" s="55"/>
      <c r="K80" s="55"/>
      <c r="L80" s="55"/>
      <c r="M80" s="55"/>
      <c r="N80" s="55"/>
      <c r="O80" s="55"/>
      <c r="P80" s="55"/>
    </row>
    <row r="81" spans="1:16" x14ac:dyDescent="0.2">
      <c r="A81" s="55"/>
      <c r="B81" s="55"/>
      <c r="C81" s="55"/>
      <c r="D81" s="55"/>
      <c r="E81" s="62"/>
      <c r="F81" s="55"/>
      <c r="G81" s="62"/>
      <c r="H81" s="55"/>
      <c r="I81" s="55"/>
      <c r="J81" s="55"/>
      <c r="K81" s="55"/>
      <c r="L81" s="55"/>
      <c r="M81" s="55"/>
      <c r="N81" s="55"/>
      <c r="O81" s="55"/>
      <c r="P81" s="55"/>
    </row>
    <row r="82" spans="1:16" x14ac:dyDescent="0.2">
      <c r="A82" s="55"/>
      <c r="B82" s="55"/>
      <c r="C82" s="55"/>
      <c r="D82" s="55"/>
      <c r="E82" s="62"/>
      <c r="F82" s="55"/>
      <c r="G82" s="62"/>
      <c r="H82" s="55"/>
      <c r="I82" s="55"/>
      <c r="J82" s="55"/>
      <c r="K82" s="55"/>
      <c r="L82" s="55"/>
      <c r="M82" s="55"/>
      <c r="N82" s="55"/>
      <c r="O82" s="55"/>
      <c r="P82" s="55"/>
    </row>
    <row r="83" spans="1:16" x14ac:dyDescent="0.2">
      <c r="A83" s="55"/>
      <c r="B83" s="55"/>
      <c r="C83" s="55"/>
      <c r="D83" s="55"/>
      <c r="E83" s="62"/>
      <c r="F83" s="55"/>
      <c r="G83" s="62"/>
      <c r="H83" s="55"/>
      <c r="I83" s="55"/>
      <c r="J83" s="55"/>
      <c r="K83" s="55"/>
      <c r="L83" s="55"/>
      <c r="M83" s="55"/>
      <c r="N83" s="55"/>
      <c r="O83" s="55"/>
      <c r="P83" s="55"/>
    </row>
    <row r="84" spans="1:16" x14ac:dyDescent="0.2">
      <c r="A84" s="55"/>
      <c r="B84" s="55"/>
      <c r="C84" s="55"/>
      <c r="D84" s="55"/>
      <c r="E84" s="62"/>
      <c r="F84" s="55"/>
      <c r="G84" s="62"/>
      <c r="H84" s="55"/>
      <c r="I84" s="55"/>
      <c r="J84" s="55"/>
      <c r="K84" s="55"/>
      <c r="L84" s="55"/>
      <c r="M84" s="55"/>
      <c r="N84" s="55"/>
      <c r="O84" s="55"/>
      <c r="P84" s="55"/>
    </row>
    <row r="85" spans="1:16" x14ac:dyDescent="0.2">
      <c r="A85" s="55"/>
      <c r="B85" s="55"/>
      <c r="C85" s="55"/>
      <c r="D85" s="55"/>
      <c r="E85" s="62"/>
      <c r="F85" s="55"/>
      <c r="G85" s="62"/>
      <c r="H85" s="55"/>
      <c r="I85" s="55"/>
      <c r="J85" s="55"/>
      <c r="K85" s="55"/>
      <c r="L85" s="55"/>
      <c r="M85" s="55"/>
      <c r="N85" s="55"/>
      <c r="O85" s="55"/>
      <c r="P85" s="55"/>
    </row>
    <row r="86" spans="1:16" x14ac:dyDescent="0.2">
      <c r="A86" s="55"/>
      <c r="B86" s="55"/>
      <c r="C86" s="55"/>
      <c r="D86" s="55"/>
      <c r="E86" s="62"/>
      <c r="F86" s="55"/>
      <c r="G86" s="62"/>
      <c r="H86" s="55"/>
      <c r="I86" s="55"/>
      <c r="J86" s="55"/>
      <c r="K86" s="55"/>
      <c r="L86" s="55"/>
      <c r="M86" s="55"/>
      <c r="N86" s="55"/>
      <c r="O86" s="55"/>
      <c r="P86" s="55"/>
    </row>
    <row r="87" spans="1:16" x14ac:dyDescent="0.2">
      <c r="A87" s="55"/>
      <c r="B87" s="55"/>
      <c r="C87" s="55"/>
      <c r="D87" s="55"/>
      <c r="E87" s="62"/>
      <c r="F87" s="55"/>
      <c r="G87" s="62"/>
      <c r="H87" s="55"/>
      <c r="I87" s="55"/>
      <c r="J87" s="55"/>
      <c r="K87" s="55"/>
      <c r="L87" s="55"/>
      <c r="M87" s="55"/>
      <c r="N87" s="55"/>
      <c r="O87" s="55"/>
      <c r="P87" s="55"/>
    </row>
    <row r="88" spans="1:16" x14ac:dyDescent="0.2">
      <c r="A88" s="55"/>
      <c r="B88" s="55"/>
      <c r="C88" s="55"/>
      <c r="D88" s="55"/>
      <c r="E88" s="62"/>
      <c r="F88" s="55"/>
      <c r="G88" s="62"/>
      <c r="H88" s="55"/>
      <c r="I88" s="55"/>
      <c r="J88" s="55"/>
      <c r="K88" s="55"/>
      <c r="L88" s="55"/>
      <c r="M88" s="55"/>
      <c r="N88" s="55"/>
      <c r="O88" s="55"/>
      <c r="P88" s="55"/>
    </row>
    <row r="89" spans="1:16" x14ac:dyDescent="0.2">
      <c r="A89" s="55"/>
      <c r="B89" s="55"/>
      <c r="C89" s="55"/>
      <c r="D89" s="55"/>
      <c r="E89" s="62"/>
      <c r="F89" s="55"/>
      <c r="G89" s="62"/>
      <c r="H89" s="55"/>
      <c r="I89" s="55"/>
      <c r="J89" s="55"/>
      <c r="K89" s="55"/>
      <c r="L89" s="55"/>
      <c r="M89" s="55"/>
      <c r="N89" s="55"/>
      <c r="O89" s="55"/>
      <c r="P89" s="55"/>
    </row>
    <row r="90" spans="1:16" x14ac:dyDescent="0.2">
      <c r="A90" s="55"/>
      <c r="B90" s="55"/>
      <c r="C90" s="55"/>
      <c r="D90" s="55"/>
      <c r="E90" s="62"/>
      <c r="F90" s="55"/>
      <c r="G90" s="62"/>
      <c r="H90" s="55"/>
      <c r="I90" s="63"/>
      <c r="J90" s="55"/>
      <c r="K90" s="55"/>
      <c r="L90" s="55"/>
      <c r="M90" s="55"/>
      <c r="N90" s="55"/>
      <c r="O90" s="55"/>
      <c r="P90" s="55"/>
    </row>
    <row r="91" spans="1:16" x14ac:dyDescent="0.2">
      <c r="A91" s="55"/>
      <c r="B91" s="55"/>
      <c r="C91" s="55"/>
      <c r="D91" s="55"/>
      <c r="E91" s="62"/>
      <c r="F91" s="55"/>
      <c r="G91" s="62"/>
      <c r="H91" s="55"/>
      <c r="I91" s="63"/>
      <c r="J91" s="55"/>
      <c r="K91" s="55"/>
      <c r="L91" s="55"/>
      <c r="M91" s="55"/>
      <c r="N91" s="55"/>
      <c r="O91" s="55"/>
      <c r="P91" s="55"/>
    </row>
    <row r="92" spans="1:16" x14ac:dyDescent="0.2">
      <c r="A92" s="55"/>
      <c r="B92" s="55"/>
      <c r="C92" s="55"/>
      <c r="D92" s="55"/>
      <c r="E92" s="62"/>
      <c r="F92" s="55"/>
      <c r="G92" s="62"/>
      <c r="H92" s="55"/>
      <c r="I92" s="63"/>
      <c r="J92" s="55"/>
      <c r="K92" s="55"/>
      <c r="L92" s="55"/>
      <c r="M92" s="55"/>
      <c r="N92" s="55"/>
      <c r="O92" s="55"/>
      <c r="P92" s="55"/>
    </row>
    <row r="93" spans="1:16" x14ac:dyDescent="0.2">
      <c r="A93" s="55"/>
      <c r="B93" s="55"/>
      <c r="C93" s="55"/>
      <c r="D93" s="55"/>
      <c r="E93" s="55"/>
      <c r="F93" s="55"/>
      <c r="G93" s="62"/>
      <c r="H93" s="55"/>
      <c r="I93" s="66"/>
      <c r="J93" s="56"/>
      <c r="K93" s="56"/>
      <c r="L93" s="56"/>
      <c r="M93" s="55"/>
      <c r="N93" s="55"/>
      <c r="O93" s="55"/>
      <c r="P93" s="55"/>
    </row>
    <row r="94" spans="1:16" x14ac:dyDescent="0.2">
      <c r="A94" s="55"/>
      <c r="B94" s="55"/>
      <c r="C94" s="55"/>
      <c r="D94" s="55"/>
      <c r="E94" s="55"/>
      <c r="F94" s="55"/>
      <c r="G94" s="62"/>
      <c r="H94" s="55"/>
      <c r="I94" s="66"/>
      <c r="J94" s="56"/>
      <c r="K94" s="56"/>
      <c r="L94" s="56"/>
      <c r="M94" s="55"/>
      <c r="N94" s="55"/>
      <c r="O94" s="55"/>
      <c r="P94" s="55"/>
    </row>
    <row r="95" spans="1:16" x14ac:dyDescent="0.2">
      <c r="A95" s="55"/>
      <c r="B95" s="55"/>
      <c r="C95" s="55"/>
      <c r="D95" s="55"/>
      <c r="E95" s="55"/>
      <c r="F95" s="55"/>
      <c r="G95" s="62"/>
      <c r="H95" s="55"/>
      <c r="I95" s="66"/>
      <c r="J95" s="56"/>
      <c r="K95" s="56"/>
      <c r="L95" s="56"/>
      <c r="M95" s="55"/>
      <c r="N95" s="55"/>
      <c r="O95" s="55"/>
      <c r="P95" s="55"/>
    </row>
    <row r="96" spans="1:16" x14ac:dyDescent="0.2">
      <c r="A96" s="55"/>
      <c r="B96" s="55"/>
      <c r="C96" s="55"/>
      <c r="D96" s="55"/>
      <c r="E96" s="55"/>
      <c r="F96" s="55"/>
      <c r="G96" s="62"/>
      <c r="H96" s="55"/>
      <c r="I96" s="66"/>
      <c r="J96" s="56"/>
      <c r="K96" s="56"/>
      <c r="L96" s="56"/>
      <c r="M96" s="55"/>
      <c r="N96" s="55"/>
      <c r="O96" s="55"/>
      <c r="P96" s="55"/>
    </row>
    <row r="97" spans="1:16" x14ac:dyDescent="0.2">
      <c r="A97" s="55"/>
      <c r="B97" s="55"/>
      <c r="C97" s="55"/>
      <c r="D97" s="55"/>
      <c r="E97" s="55"/>
      <c r="F97" s="55"/>
      <c r="G97" s="62"/>
      <c r="H97" s="55"/>
      <c r="I97" s="66"/>
      <c r="J97" s="56"/>
      <c r="K97" s="56"/>
      <c r="L97" s="56"/>
      <c r="M97" s="55"/>
      <c r="N97" s="55"/>
      <c r="O97" s="55"/>
      <c r="P97" s="55"/>
    </row>
    <row r="98" spans="1:16" x14ac:dyDescent="0.2">
      <c r="A98" s="55"/>
      <c r="B98" s="55"/>
      <c r="C98" s="55"/>
      <c r="D98" s="55"/>
      <c r="E98" s="55"/>
      <c r="F98" s="55"/>
      <c r="G98" s="62"/>
      <c r="H98" s="55"/>
      <c r="I98" s="66"/>
      <c r="J98" s="56"/>
      <c r="K98" s="56"/>
      <c r="L98" s="56"/>
      <c r="M98" s="55"/>
      <c r="N98" s="55"/>
      <c r="O98" s="55"/>
      <c r="P98" s="55"/>
    </row>
    <row r="99" spans="1:16" x14ac:dyDescent="0.2">
      <c r="A99" s="55"/>
      <c r="B99" s="55"/>
      <c r="C99" s="55"/>
      <c r="D99" s="55"/>
      <c r="E99" s="55"/>
      <c r="F99" s="55"/>
      <c r="G99" s="62"/>
      <c r="H99" s="55"/>
      <c r="I99" s="66"/>
      <c r="J99" s="56"/>
      <c r="K99" s="56"/>
      <c r="L99" s="56"/>
      <c r="M99" s="55"/>
      <c r="N99" s="55"/>
      <c r="O99" s="55"/>
      <c r="P99" s="55"/>
    </row>
    <row r="100" spans="1:16" x14ac:dyDescent="0.2">
      <c r="A100" s="55"/>
      <c r="B100" s="55"/>
      <c r="C100" s="55"/>
      <c r="D100" s="55"/>
      <c r="E100" s="55"/>
      <c r="F100" s="55"/>
      <c r="G100" s="62"/>
      <c r="H100" s="55"/>
      <c r="I100" s="66"/>
      <c r="J100" s="56"/>
      <c r="K100" s="56"/>
      <c r="L100" s="56"/>
      <c r="M100" s="55"/>
      <c r="N100" s="55"/>
      <c r="O100" s="55"/>
      <c r="P100" s="55"/>
    </row>
    <row r="101" spans="1:16" x14ac:dyDescent="0.2">
      <c r="A101" s="55"/>
      <c r="B101" s="55"/>
      <c r="C101" s="55"/>
      <c r="D101" s="55"/>
      <c r="E101" s="55"/>
      <c r="F101" s="55"/>
      <c r="G101" s="62"/>
      <c r="H101" s="55"/>
      <c r="I101" s="66"/>
      <c r="J101" s="56"/>
      <c r="K101" s="56"/>
      <c r="L101" s="56"/>
      <c r="M101" s="55"/>
      <c r="N101" s="55"/>
      <c r="O101" s="55"/>
      <c r="P101" s="55"/>
    </row>
    <row r="102" spans="1:16" x14ac:dyDescent="0.2">
      <c r="A102" s="55"/>
      <c r="B102" s="55"/>
      <c r="C102" s="55"/>
      <c r="D102" s="55"/>
      <c r="E102" s="55"/>
      <c r="F102" s="55"/>
      <c r="G102" s="62"/>
      <c r="H102" s="55"/>
      <c r="I102" s="66"/>
      <c r="J102" s="56"/>
      <c r="K102" s="56"/>
      <c r="L102" s="56"/>
      <c r="M102" s="55"/>
      <c r="N102" s="55"/>
      <c r="O102" s="55"/>
      <c r="P102" s="55"/>
    </row>
    <row r="103" spans="1:16" x14ac:dyDescent="0.2">
      <c r="A103" s="55"/>
      <c r="B103" s="55"/>
      <c r="C103" s="55"/>
      <c r="D103" s="55"/>
      <c r="E103" s="55"/>
      <c r="F103" s="55"/>
      <c r="G103" s="62"/>
      <c r="H103" s="55"/>
      <c r="I103" s="66"/>
      <c r="J103" s="56"/>
      <c r="K103" s="56"/>
      <c r="L103" s="56"/>
      <c r="M103" s="55"/>
      <c r="N103" s="55"/>
      <c r="O103" s="55"/>
      <c r="P103" s="55"/>
    </row>
    <row r="104" spans="1:16" x14ac:dyDescent="0.2">
      <c r="A104" s="55"/>
      <c r="B104" s="55"/>
      <c r="C104" s="55"/>
      <c r="D104" s="55"/>
      <c r="E104" s="55"/>
      <c r="F104" s="55"/>
      <c r="G104" s="62"/>
      <c r="H104" s="55"/>
      <c r="I104" s="66"/>
      <c r="J104" s="56"/>
      <c r="K104" s="56"/>
      <c r="L104" s="56"/>
      <c r="M104" s="55"/>
      <c r="N104" s="55"/>
      <c r="O104" s="55"/>
      <c r="P104" s="55"/>
    </row>
    <row r="105" spans="1:16" x14ac:dyDescent="0.2">
      <c r="A105" s="55"/>
      <c r="B105" s="55"/>
      <c r="C105" s="55"/>
      <c r="D105" s="55"/>
      <c r="E105" s="55"/>
      <c r="F105" s="55"/>
      <c r="G105" s="62"/>
      <c r="H105" s="55"/>
      <c r="I105" s="66"/>
      <c r="J105" s="56"/>
      <c r="K105" s="56"/>
      <c r="L105" s="56"/>
      <c r="M105" s="55"/>
      <c r="N105" s="55"/>
      <c r="O105" s="55"/>
      <c r="P105" s="55"/>
    </row>
    <row r="106" spans="1:16" x14ac:dyDescent="0.2">
      <c r="A106" s="55"/>
      <c r="B106" s="55"/>
      <c r="C106" s="55"/>
      <c r="D106" s="55"/>
      <c r="E106" s="55"/>
      <c r="F106" s="55"/>
      <c r="G106" s="62"/>
      <c r="H106" s="55"/>
      <c r="I106" s="66"/>
      <c r="J106" s="56"/>
      <c r="K106" s="56"/>
      <c r="L106" s="56"/>
      <c r="M106" s="55"/>
      <c r="N106" s="55"/>
      <c r="O106" s="55"/>
      <c r="P106" s="55"/>
    </row>
    <row r="107" spans="1:16" x14ac:dyDescent="0.2">
      <c r="A107" s="55"/>
      <c r="B107" s="55"/>
      <c r="C107" s="55"/>
      <c r="D107" s="55"/>
      <c r="E107" s="55"/>
      <c r="F107" s="55"/>
      <c r="G107" s="62"/>
      <c r="H107" s="55"/>
      <c r="I107" s="66"/>
      <c r="J107" s="56"/>
      <c r="K107" s="56"/>
      <c r="L107" s="56"/>
      <c r="M107" s="55"/>
      <c r="N107" s="55"/>
      <c r="O107" s="55"/>
      <c r="P107" s="55"/>
    </row>
    <row r="108" spans="1:16" x14ac:dyDescent="0.2">
      <c r="A108" s="55"/>
      <c r="B108" s="55"/>
      <c r="C108" s="55"/>
      <c r="D108" s="55"/>
      <c r="E108" s="55"/>
      <c r="F108" s="55"/>
      <c r="G108" s="62"/>
      <c r="H108" s="55"/>
      <c r="I108" s="66"/>
      <c r="J108" s="56"/>
      <c r="K108" s="56"/>
      <c r="L108" s="56"/>
      <c r="M108" s="55"/>
      <c r="N108" s="55"/>
      <c r="O108" s="55"/>
      <c r="P108" s="55"/>
    </row>
    <row r="109" spans="1:16" x14ac:dyDescent="0.2">
      <c r="A109" s="55"/>
      <c r="B109" s="55"/>
      <c r="C109" s="55"/>
      <c r="D109" s="55"/>
      <c r="E109" s="55"/>
      <c r="F109" s="55"/>
      <c r="G109" s="62"/>
      <c r="H109" s="55"/>
      <c r="I109" s="66"/>
      <c r="J109" s="56"/>
      <c r="K109" s="56"/>
      <c r="L109" s="56"/>
      <c r="M109" s="55"/>
      <c r="N109" s="55"/>
      <c r="O109" s="55"/>
      <c r="P109" s="55"/>
    </row>
    <row r="110" spans="1:16" x14ac:dyDescent="0.2">
      <c r="A110" s="55"/>
      <c r="B110" s="55"/>
      <c r="C110" s="55"/>
      <c r="D110" s="55"/>
      <c r="E110" s="55"/>
      <c r="F110" s="55"/>
      <c r="G110" s="62"/>
      <c r="H110" s="55"/>
      <c r="I110" s="66"/>
      <c r="J110" s="56"/>
      <c r="K110" s="56"/>
      <c r="L110" s="56"/>
      <c r="M110" s="55"/>
      <c r="N110" s="55"/>
      <c r="O110" s="55"/>
      <c r="P110" s="55"/>
    </row>
    <row r="111" spans="1:16" x14ac:dyDescent="0.2">
      <c r="A111" s="55"/>
      <c r="B111" s="55"/>
      <c r="C111" s="55"/>
      <c r="D111" s="55"/>
      <c r="E111" s="55"/>
      <c r="F111" s="55"/>
      <c r="G111" s="62"/>
      <c r="H111" s="55"/>
      <c r="I111" s="55"/>
      <c r="J111" s="56"/>
      <c r="K111" s="56"/>
      <c r="L111" s="56"/>
      <c r="M111" s="55"/>
      <c r="N111" s="55"/>
      <c r="O111" s="55"/>
      <c r="P111" s="55"/>
    </row>
    <row r="112" spans="1:16" x14ac:dyDescent="0.2">
      <c r="A112" s="55"/>
      <c r="B112" s="55"/>
      <c r="C112" s="55"/>
      <c r="D112" s="55"/>
      <c r="E112" s="55"/>
      <c r="F112" s="55"/>
      <c r="G112" s="62"/>
      <c r="H112" s="55"/>
      <c r="I112" s="55"/>
      <c r="J112" s="56"/>
      <c r="K112" s="56"/>
      <c r="L112" s="56"/>
      <c r="M112" s="55"/>
      <c r="N112" s="55"/>
      <c r="O112" s="55"/>
      <c r="P112" s="55"/>
    </row>
    <row r="113" spans="1:16" x14ac:dyDescent="0.2">
      <c r="A113" s="55"/>
      <c r="B113" s="55"/>
      <c r="C113" s="55"/>
      <c r="D113" s="55"/>
      <c r="E113" s="55"/>
      <c r="F113" s="55"/>
      <c r="G113" s="62"/>
      <c r="H113" s="55"/>
      <c r="I113" s="55"/>
      <c r="J113" s="56"/>
      <c r="K113" s="56"/>
      <c r="L113" s="56"/>
      <c r="M113" s="55"/>
      <c r="N113" s="55"/>
      <c r="O113" s="55"/>
      <c r="P113" s="55"/>
    </row>
    <row r="114" spans="1:16" x14ac:dyDescent="0.2">
      <c r="A114" s="55"/>
      <c r="B114" s="55"/>
      <c r="C114" s="55"/>
      <c r="D114" s="55"/>
      <c r="E114" s="55"/>
      <c r="F114" s="55"/>
      <c r="G114" s="62"/>
      <c r="H114" s="55"/>
      <c r="I114" s="55"/>
      <c r="J114" s="56"/>
      <c r="K114" s="56"/>
      <c r="L114" s="56"/>
      <c r="M114" s="55"/>
      <c r="N114" s="55"/>
      <c r="O114" s="55"/>
      <c r="P114" s="55"/>
    </row>
    <row r="115" spans="1:16" x14ac:dyDescent="0.2">
      <c r="A115" s="55"/>
      <c r="B115" s="55"/>
      <c r="C115" s="55"/>
      <c r="D115" s="55"/>
      <c r="E115" s="55"/>
      <c r="F115" s="55"/>
      <c r="G115" s="62"/>
      <c r="H115" s="55"/>
      <c r="I115" s="55"/>
      <c r="J115" s="56"/>
      <c r="K115" s="56"/>
      <c r="L115" s="56"/>
      <c r="M115" s="55"/>
      <c r="N115" s="55"/>
      <c r="O115" s="55"/>
      <c r="P115" s="55"/>
    </row>
    <row r="116" spans="1:16" x14ac:dyDescent="0.2">
      <c r="A116" s="55"/>
      <c r="B116" s="55"/>
      <c r="C116" s="55"/>
      <c r="D116" s="55"/>
      <c r="E116" s="55"/>
      <c r="F116" s="55"/>
      <c r="G116" s="62"/>
      <c r="H116" s="55"/>
      <c r="I116" s="55"/>
      <c r="J116" s="56"/>
      <c r="K116" s="56"/>
      <c r="L116" s="56"/>
      <c r="M116" s="55"/>
      <c r="N116" s="55"/>
      <c r="O116" s="55"/>
      <c r="P116" s="55"/>
    </row>
    <row r="117" spans="1:16" x14ac:dyDescent="0.2">
      <c r="A117" s="55"/>
      <c r="B117" s="55"/>
      <c r="C117" s="55"/>
      <c r="D117" s="55"/>
      <c r="E117" s="55"/>
      <c r="F117" s="55"/>
      <c r="G117" s="62"/>
      <c r="H117" s="55"/>
      <c r="I117" s="55"/>
      <c r="J117" s="56"/>
      <c r="K117" s="56"/>
      <c r="L117" s="56"/>
      <c r="M117" s="55"/>
      <c r="N117" s="55"/>
      <c r="O117" s="55"/>
      <c r="P117" s="55"/>
    </row>
    <row r="118" spans="1:16" x14ac:dyDescent="0.2">
      <c r="A118" s="55"/>
      <c r="B118" s="55"/>
      <c r="C118" s="55"/>
      <c r="D118" s="55"/>
      <c r="E118" s="55"/>
      <c r="F118" s="55"/>
      <c r="G118" s="62"/>
      <c r="H118" s="55"/>
      <c r="I118" s="55"/>
      <c r="J118" s="56"/>
      <c r="K118" s="56"/>
      <c r="L118" s="56"/>
      <c r="M118" s="55"/>
      <c r="N118" s="55"/>
      <c r="O118" s="55"/>
      <c r="P118" s="55"/>
    </row>
    <row r="119" spans="1:16" x14ac:dyDescent="0.2">
      <c r="A119" s="55"/>
      <c r="B119" s="55"/>
      <c r="C119" s="55"/>
      <c r="D119" s="55"/>
      <c r="E119" s="55"/>
      <c r="F119" s="55"/>
      <c r="G119" s="62"/>
      <c r="H119" s="55"/>
      <c r="I119" s="55"/>
      <c r="J119" s="56"/>
      <c r="K119" s="56"/>
      <c r="L119" s="56"/>
      <c r="M119" s="55"/>
      <c r="N119" s="55"/>
      <c r="O119" s="55"/>
      <c r="P119" s="55"/>
    </row>
    <row r="120" spans="1:16" x14ac:dyDescent="0.2">
      <c r="A120" s="55"/>
      <c r="B120" s="55"/>
      <c r="C120" s="55"/>
      <c r="D120" s="55"/>
      <c r="E120" s="55"/>
      <c r="F120" s="55"/>
      <c r="G120" s="62"/>
      <c r="H120" s="55"/>
      <c r="I120" s="55"/>
      <c r="J120" s="56"/>
      <c r="K120" s="56"/>
      <c r="L120" s="56"/>
      <c r="M120" s="55"/>
      <c r="N120" s="55"/>
      <c r="O120" s="55"/>
      <c r="P120" s="55"/>
    </row>
    <row r="121" spans="1:16" x14ac:dyDescent="0.2">
      <c r="A121" s="55"/>
      <c r="B121" s="55"/>
      <c r="C121" s="55"/>
      <c r="D121" s="55"/>
      <c r="E121" s="55"/>
      <c r="F121" s="55"/>
      <c r="G121" s="62"/>
      <c r="H121" s="55"/>
      <c r="I121" s="55"/>
      <c r="J121" s="56"/>
      <c r="K121" s="56"/>
      <c r="L121" s="56"/>
      <c r="M121" s="55"/>
      <c r="N121" s="55"/>
      <c r="O121" s="55"/>
      <c r="P121" s="55"/>
    </row>
    <row r="122" spans="1:16" x14ac:dyDescent="0.2">
      <c r="A122" s="55"/>
      <c r="B122" s="55"/>
      <c r="C122" s="55"/>
      <c r="D122" s="55"/>
      <c r="E122" s="55"/>
      <c r="F122" s="55"/>
      <c r="G122" s="62"/>
      <c r="H122" s="55"/>
      <c r="I122" s="55"/>
      <c r="J122" s="56"/>
      <c r="K122" s="56"/>
      <c r="L122" s="56"/>
      <c r="M122" s="55"/>
      <c r="N122" s="55"/>
      <c r="O122" s="55"/>
      <c r="P122" s="55"/>
    </row>
    <row r="123" spans="1:16" x14ac:dyDescent="0.2">
      <c r="A123" s="55"/>
      <c r="B123" s="55"/>
      <c r="C123" s="55"/>
      <c r="D123" s="55"/>
      <c r="E123" s="55"/>
      <c r="F123" s="55"/>
      <c r="G123" s="62"/>
      <c r="H123" s="55"/>
      <c r="I123" s="55"/>
      <c r="J123" s="56"/>
      <c r="K123" s="56"/>
      <c r="L123" s="56"/>
      <c r="M123" s="55"/>
      <c r="N123" s="55"/>
      <c r="O123" s="55"/>
      <c r="P123" s="55"/>
    </row>
    <row r="124" spans="1:16" x14ac:dyDescent="0.2">
      <c r="A124" s="55"/>
      <c r="B124" s="55"/>
      <c r="C124" s="55"/>
      <c r="D124" s="55"/>
      <c r="E124" s="55"/>
      <c r="F124" s="55"/>
      <c r="G124" s="62"/>
      <c r="H124" s="55"/>
      <c r="I124" s="55"/>
      <c r="J124" s="56"/>
      <c r="K124" s="56"/>
      <c r="L124" s="56"/>
      <c r="M124" s="55"/>
      <c r="N124" s="55"/>
      <c r="O124" s="55"/>
      <c r="P124" s="55"/>
    </row>
    <row r="125" spans="1:16" x14ac:dyDescent="0.2">
      <c r="A125" s="55"/>
      <c r="B125" s="55"/>
      <c r="C125" s="55"/>
      <c r="D125" s="55"/>
      <c r="E125" s="55"/>
      <c r="F125" s="55"/>
      <c r="G125" s="62"/>
      <c r="H125" s="55"/>
      <c r="I125" s="55"/>
      <c r="J125" s="56"/>
      <c r="K125" s="56"/>
      <c r="L125" s="56"/>
      <c r="M125" s="55"/>
      <c r="N125" s="55"/>
      <c r="O125" s="55"/>
      <c r="P125" s="55"/>
    </row>
    <row r="126" spans="1:16" x14ac:dyDescent="0.2">
      <c r="A126" s="55"/>
      <c r="B126" s="55"/>
      <c r="C126" s="55"/>
      <c r="D126" s="55"/>
      <c r="E126" s="55"/>
      <c r="F126" s="55"/>
      <c r="G126" s="62"/>
      <c r="H126" s="55"/>
      <c r="I126" s="55"/>
      <c r="J126" s="56"/>
      <c r="K126" s="56"/>
      <c r="L126" s="56"/>
      <c r="M126" s="55"/>
      <c r="N126" s="55"/>
      <c r="O126" s="55"/>
      <c r="P126" s="55"/>
    </row>
    <row r="127" spans="1:16" x14ac:dyDescent="0.2">
      <c r="A127" s="55"/>
      <c r="B127" s="55"/>
      <c r="C127" s="55"/>
      <c r="D127" s="55"/>
      <c r="E127" s="55"/>
      <c r="F127" s="55"/>
      <c r="G127" s="62"/>
      <c r="H127" s="55"/>
      <c r="I127" s="55"/>
      <c r="J127" s="56"/>
      <c r="K127" s="56"/>
      <c r="L127" s="56"/>
      <c r="M127" s="55"/>
      <c r="N127" s="55"/>
      <c r="O127" s="55"/>
      <c r="P127" s="55"/>
    </row>
    <row r="128" spans="1:16" x14ac:dyDescent="0.2">
      <c r="A128" s="55"/>
      <c r="B128" s="55"/>
      <c r="C128" s="55"/>
      <c r="D128" s="55"/>
      <c r="E128" s="55"/>
      <c r="F128" s="55"/>
      <c r="G128" s="62"/>
      <c r="H128" s="55"/>
      <c r="I128" s="55"/>
      <c r="J128" s="56"/>
      <c r="K128" s="56"/>
      <c r="L128" s="56"/>
      <c r="M128" s="55"/>
      <c r="N128" s="55"/>
      <c r="O128" s="55"/>
      <c r="P128" s="55"/>
    </row>
    <row r="129" spans="1:16" x14ac:dyDescent="0.2">
      <c r="A129" s="55"/>
      <c r="B129" s="55"/>
      <c r="C129" s="55"/>
      <c r="D129" s="55"/>
      <c r="E129" s="55"/>
      <c r="F129" s="55"/>
      <c r="G129" s="62"/>
      <c r="H129" s="55"/>
      <c r="I129" s="55"/>
      <c r="J129" s="56"/>
      <c r="K129" s="56"/>
      <c r="L129" s="56"/>
      <c r="M129" s="55"/>
      <c r="N129" s="55"/>
      <c r="O129" s="55"/>
      <c r="P129" s="55"/>
    </row>
    <row r="130" spans="1:16" x14ac:dyDescent="0.2">
      <c r="A130" s="55"/>
      <c r="B130" s="55"/>
      <c r="C130" s="55"/>
      <c r="D130" s="55"/>
      <c r="E130" s="55"/>
      <c r="F130" s="55"/>
      <c r="G130" s="62"/>
      <c r="H130" s="55"/>
      <c r="I130" s="55"/>
      <c r="J130" s="56"/>
      <c r="K130" s="56"/>
      <c r="L130" s="56"/>
      <c r="M130" s="55"/>
      <c r="N130" s="55"/>
      <c r="O130" s="55"/>
      <c r="P130" s="55"/>
    </row>
    <row r="131" spans="1:16" x14ac:dyDescent="0.2">
      <c r="A131" s="55"/>
      <c r="B131" s="55"/>
      <c r="C131" s="55"/>
      <c r="D131" s="55"/>
      <c r="E131" s="55"/>
      <c r="F131" s="55"/>
      <c r="G131" s="62"/>
      <c r="H131" s="55"/>
      <c r="I131" s="55"/>
      <c r="J131" s="56"/>
      <c r="K131" s="56"/>
      <c r="L131" s="56"/>
      <c r="M131" s="55"/>
      <c r="N131" s="55"/>
      <c r="O131" s="55"/>
      <c r="P131" s="55"/>
    </row>
    <row r="132" spans="1:16" x14ac:dyDescent="0.2">
      <c r="A132" s="55"/>
      <c r="B132" s="55"/>
      <c r="C132" s="55"/>
      <c r="D132" s="55"/>
      <c r="E132" s="55"/>
      <c r="F132" s="55"/>
      <c r="G132" s="62"/>
      <c r="H132" s="55"/>
      <c r="I132" s="55"/>
      <c r="J132" s="56"/>
      <c r="K132" s="56"/>
      <c r="L132" s="56"/>
      <c r="M132" s="55"/>
      <c r="N132" s="55"/>
      <c r="O132" s="55"/>
      <c r="P132" s="55"/>
    </row>
    <row r="133" spans="1:16" x14ac:dyDescent="0.2">
      <c r="A133" s="55"/>
      <c r="B133" s="55"/>
      <c r="C133" s="55"/>
      <c r="D133" s="55"/>
      <c r="E133" s="55"/>
      <c r="F133" s="55"/>
      <c r="G133" s="62"/>
      <c r="H133" s="55"/>
      <c r="I133" s="55"/>
      <c r="J133" s="56"/>
      <c r="K133" s="56"/>
      <c r="L133" s="56"/>
      <c r="M133" s="55"/>
      <c r="N133" s="55"/>
      <c r="O133" s="55"/>
      <c r="P133" s="55"/>
    </row>
    <row r="134" spans="1:16" x14ac:dyDescent="0.2">
      <c r="A134" s="55"/>
      <c r="B134" s="55"/>
      <c r="C134" s="55"/>
      <c r="D134" s="55"/>
      <c r="E134" s="55"/>
      <c r="F134" s="55"/>
      <c r="G134" s="62"/>
      <c r="H134" s="55"/>
      <c r="I134" s="55"/>
      <c r="J134" s="56"/>
      <c r="K134" s="56"/>
      <c r="L134" s="56"/>
      <c r="M134" s="55"/>
      <c r="N134" s="55"/>
      <c r="O134" s="55"/>
      <c r="P134" s="55"/>
    </row>
    <row r="135" spans="1:16" x14ac:dyDescent="0.2">
      <c r="A135" s="55"/>
      <c r="B135" s="55"/>
      <c r="C135" s="55"/>
      <c r="D135" s="55"/>
      <c r="E135" s="55"/>
      <c r="F135" s="55"/>
      <c r="G135" s="62"/>
      <c r="H135" s="55"/>
      <c r="I135" s="55"/>
      <c r="J135" s="56"/>
      <c r="K135" s="56"/>
      <c r="L135" s="56"/>
      <c r="M135" s="55"/>
      <c r="N135" s="55"/>
      <c r="O135" s="55"/>
      <c r="P135" s="55"/>
    </row>
    <row r="136" spans="1:16" x14ac:dyDescent="0.2">
      <c r="A136" s="55"/>
      <c r="B136" s="55"/>
      <c r="C136" s="55"/>
      <c r="D136" s="55"/>
      <c r="E136" s="55"/>
      <c r="F136" s="55"/>
      <c r="G136" s="62"/>
      <c r="H136" s="55"/>
      <c r="I136" s="55"/>
      <c r="J136" s="56"/>
      <c r="K136" s="56"/>
      <c r="L136" s="56"/>
      <c r="M136" s="55"/>
      <c r="N136" s="55"/>
      <c r="O136" s="55"/>
      <c r="P136" s="55"/>
    </row>
    <row r="137" spans="1:16" x14ac:dyDescent="0.2">
      <c r="A137" s="55"/>
      <c r="B137" s="55"/>
      <c r="C137" s="55"/>
      <c r="D137" s="55"/>
      <c r="E137" s="55"/>
      <c r="F137" s="55"/>
      <c r="G137" s="62"/>
      <c r="H137" s="55"/>
      <c r="I137" s="55"/>
      <c r="J137" s="56"/>
      <c r="K137" s="56"/>
      <c r="L137" s="56"/>
      <c r="M137" s="55"/>
      <c r="N137" s="55"/>
      <c r="O137" s="55"/>
      <c r="P137" s="55"/>
    </row>
    <row r="138" spans="1:16" x14ac:dyDescent="0.2">
      <c r="A138" s="55"/>
      <c r="B138" s="55"/>
      <c r="C138" s="55"/>
      <c r="D138" s="55"/>
      <c r="E138" s="55"/>
      <c r="F138" s="55"/>
      <c r="G138" s="62"/>
      <c r="H138" s="55"/>
      <c r="I138" s="55"/>
      <c r="J138" s="56"/>
      <c r="K138" s="56"/>
      <c r="L138" s="56"/>
      <c r="M138" s="55"/>
      <c r="N138" s="55"/>
      <c r="O138" s="55"/>
      <c r="P138" s="55"/>
    </row>
    <row r="139" spans="1:16" x14ac:dyDescent="0.2">
      <c r="A139" s="55"/>
      <c r="B139" s="55"/>
      <c r="C139" s="55"/>
      <c r="D139" s="55"/>
      <c r="E139" s="55"/>
      <c r="F139" s="55"/>
      <c r="G139" s="62"/>
      <c r="H139" s="55"/>
      <c r="I139" s="55"/>
      <c r="J139" s="56"/>
      <c r="K139" s="56"/>
      <c r="L139" s="56"/>
      <c r="M139" s="55"/>
      <c r="N139" s="55"/>
      <c r="O139" s="55"/>
      <c r="P139" s="5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3"/>
  <sheetViews>
    <sheetView workbookViewId="0">
      <pane ySplit="1" topLeftCell="A58" activePane="bottomLeft" state="frozen"/>
      <selection pane="bottomLeft" activeCell="I81" sqref="I81"/>
    </sheetView>
  </sheetViews>
  <sheetFormatPr baseColWidth="10" defaultColWidth="10.83203125" defaultRowHeight="15" x14ac:dyDescent="0.2"/>
  <cols>
    <col min="1" max="1" width="25.83203125" style="21" bestFit="1" customWidth="1"/>
    <col min="2" max="2" width="26.1640625" style="21" customWidth="1"/>
    <col min="3" max="3" width="26.5" style="21" customWidth="1"/>
    <col min="4" max="5" width="10.83203125" style="21"/>
    <col min="6" max="6" width="65.83203125" style="21" customWidth="1"/>
    <col min="7" max="16384" width="10.83203125" style="21"/>
  </cols>
  <sheetData>
    <row r="1" spans="1:7" ht="117.75" customHeight="1" x14ac:dyDescent="0.2">
      <c r="A1" s="61" t="s">
        <v>161</v>
      </c>
      <c r="B1" s="57" t="s">
        <v>162</v>
      </c>
      <c r="C1" s="57" t="s">
        <v>163</v>
      </c>
      <c r="D1" s="58" t="s">
        <v>164</v>
      </c>
      <c r="E1" s="58" t="s">
        <v>165</v>
      </c>
      <c r="F1" s="58" t="s">
        <v>166</v>
      </c>
      <c r="G1" s="57" t="s">
        <v>167</v>
      </c>
    </row>
    <row r="2" spans="1:7" ht="32" x14ac:dyDescent="0.2">
      <c r="A2" s="21" t="s">
        <v>130</v>
      </c>
      <c r="B2" s="56" t="s">
        <v>125</v>
      </c>
      <c r="C2" s="21" t="s">
        <v>168</v>
      </c>
      <c r="D2" s="59">
        <v>45265</v>
      </c>
      <c r="E2" s="21" t="s">
        <v>169</v>
      </c>
      <c r="F2" s="21" t="s">
        <v>170</v>
      </c>
      <c r="G2" s="21">
        <v>2</v>
      </c>
    </row>
    <row r="3" spans="1:7" x14ac:dyDescent="0.2">
      <c r="F3" s="60" t="s">
        <v>171</v>
      </c>
    </row>
    <row r="4" spans="1:7" x14ac:dyDescent="0.2">
      <c r="F4" s="21" t="s">
        <v>172</v>
      </c>
    </row>
    <row r="5" spans="1:7" x14ac:dyDescent="0.2">
      <c r="F5" s="60" t="s">
        <v>173</v>
      </c>
    </row>
    <row r="6" spans="1:7" x14ac:dyDescent="0.2">
      <c r="F6" s="21" t="s">
        <v>172</v>
      </c>
    </row>
    <row r="8" spans="1:7" x14ac:dyDescent="0.2">
      <c r="A8" s="21" t="s">
        <v>174</v>
      </c>
      <c r="B8" s="21" t="s">
        <v>175</v>
      </c>
      <c r="C8" s="59" t="s">
        <v>175</v>
      </c>
      <c r="D8" s="59" t="s">
        <v>175</v>
      </c>
      <c r="E8" s="59" t="s">
        <v>175</v>
      </c>
      <c r="F8" s="59" t="s">
        <v>175</v>
      </c>
      <c r="G8" s="59" t="s">
        <v>175</v>
      </c>
    </row>
    <row r="9" spans="1:7" x14ac:dyDescent="0.2">
      <c r="F9" s="60" t="s">
        <v>171</v>
      </c>
    </row>
    <row r="10" spans="1:7" x14ac:dyDescent="0.2">
      <c r="F10" s="59" t="s">
        <v>175</v>
      </c>
    </row>
    <row r="11" spans="1:7" x14ac:dyDescent="0.2">
      <c r="F11" s="60" t="s">
        <v>176</v>
      </c>
    </row>
    <row r="12" spans="1:7" x14ac:dyDescent="0.2">
      <c r="F12" s="59" t="s">
        <v>175</v>
      </c>
    </row>
    <row r="14" spans="1:7" x14ac:dyDescent="0.2">
      <c r="A14" s="21" t="s">
        <v>135</v>
      </c>
      <c r="B14" s="55" t="s">
        <v>131</v>
      </c>
      <c r="C14" s="55" t="s">
        <v>132</v>
      </c>
      <c r="D14" s="59">
        <v>45342</v>
      </c>
      <c r="E14" s="59" t="s">
        <v>177</v>
      </c>
      <c r="F14" s="59" t="s">
        <v>178</v>
      </c>
      <c r="G14" s="21" t="s">
        <v>155</v>
      </c>
    </row>
    <row r="15" spans="1:7" x14ac:dyDescent="0.2">
      <c r="B15" s="55" t="s">
        <v>131</v>
      </c>
      <c r="C15" s="55" t="s">
        <v>132</v>
      </c>
      <c r="F15" s="60" t="s">
        <v>171</v>
      </c>
    </row>
    <row r="16" spans="1:7" x14ac:dyDescent="0.2">
      <c r="B16" s="55" t="s">
        <v>136</v>
      </c>
      <c r="C16" s="55" t="s">
        <v>132</v>
      </c>
      <c r="F16" s="59" t="s">
        <v>79</v>
      </c>
    </row>
    <row r="17" spans="1:7" x14ac:dyDescent="0.2">
      <c r="B17" s="55" t="s">
        <v>125</v>
      </c>
      <c r="C17" s="55" t="s">
        <v>132</v>
      </c>
      <c r="F17" s="60" t="s">
        <v>176</v>
      </c>
    </row>
    <row r="18" spans="1:7" x14ac:dyDescent="0.2">
      <c r="B18" s="55" t="s">
        <v>125</v>
      </c>
      <c r="C18" s="55" t="s">
        <v>132</v>
      </c>
      <c r="F18" s="59" t="s">
        <v>79</v>
      </c>
    </row>
    <row r="19" spans="1:7" x14ac:dyDescent="0.2">
      <c r="B19" s="55" t="s">
        <v>137</v>
      </c>
      <c r="C19" s="55" t="s">
        <v>132</v>
      </c>
    </row>
    <row r="21" spans="1:7" x14ac:dyDescent="0.2">
      <c r="A21" s="21" t="s">
        <v>140</v>
      </c>
      <c r="B21" s="55" t="s">
        <v>271</v>
      </c>
      <c r="C21" s="21" t="s">
        <v>263</v>
      </c>
      <c r="D21" s="59">
        <v>45342</v>
      </c>
      <c r="E21" s="59" t="s">
        <v>177</v>
      </c>
      <c r="F21" s="59" t="s">
        <v>244</v>
      </c>
      <c r="G21" s="21">
        <v>3</v>
      </c>
    </row>
    <row r="22" spans="1:7" x14ac:dyDescent="0.2">
      <c r="B22" s="55" t="s">
        <v>131</v>
      </c>
      <c r="C22" s="21" t="s">
        <v>259</v>
      </c>
      <c r="F22" s="60" t="s">
        <v>171</v>
      </c>
    </row>
    <row r="23" spans="1:7" x14ac:dyDescent="0.2">
      <c r="B23" s="55" t="s">
        <v>136</v>
      </c>
      <c r="C23" s="21" t="s">
        <v>260</v>
      </c>
      <c r="F23" s="59" t="s">
        <v>79</v>
      </c>
    </row>
    <row r="24" spans="1:7" x14ac:dyDescent="0.2">
      <c r="B24" s="55" t="s">
        <v>125</v>
      </c>
      <c r="C24" s="21" t="s">
        <v>261</v>
      </c>
      <c r="F24" s="60" t="s">
        <v>176</v>
      </c>
    </row>
    <row r="25" spans="1:7" x14ac:dyDescent="0.2">
      <c r="B25" s="55" t="s">
        <v>141</v>
      </c>
      <c r="C25" s="21" t="s">
        <v>262</v>
      </c>
      <c r="F25" s="59" t="s">
        <v>79</v>
      </c>
    </row>
    <row r="26" spans="1:7" x14ac:dyDescent="0.2">
      <c r="B26" s="55" t="s">
        <v>137</v>
      </c>
      <c r="C26" s="21" t="s">
        <v>264</v>
      </c>
    </row>
    <row r="27" spans="1:7" x14ac:dyDescent="0.2">
      <c r="B27" s="55" t="s">
        <v>137</v>
      </c>
      <c r="C27" s="21" t="s">
        <v>267</v>
      </c>
    </row>
    <row r="28" spans="1:7" x14ac:dyDescent="0.2">
      <c r="B28" s="55" t="s">
        <v>245</v>
      </c>
      <c r="C28" s="21" t="s">
        <v>265</v>
      </c>
    </row>
    <row r="29" spans="1:7" x14ac:dyDescent="0.2">
      <c r="B29" s="55"/>
      <c r="C29" s="21" t="s">
        <v>266</v>
      </c>
    </row>
    <row r="30" spans="1:7" x14ac:dyDescent="0.2">
      <c r="B30" s="55"/>
      <c r="C30" s="21" t="s">
        <v>268</v>
      </c>
    </row>
    <row r="31" spans="1:7" x14ac:dyDescent="0.2">
      <c r="B31" s="55"/>
      <c r="C31" s="21" t="s">
        <v>269</v>
      </c>
    </row>
    <row r="32" spans="1:7" x14ac:dyDescent="0.2">
      <c r="B32" s="55"/>
      <c r="C32" s="21" t="s">
        <v>270</v>
      </c>
    </row>
    <row r="33" spans="1:7" x14ac:dyDescent="0.2">
      <c r="B33" s="55"/>
      <c r="C33" s="55" t="s">
        <v>240</v>
      </c>
    </row>
    <row r="34" spans="1:7" x14ac:dyDescent="0.2">
      <c r="B34" s="55"/>
      <c r="C34" s="55" t="s">
        <v>241</v>
      </c>
    </row>
    <row r="35" spans="1:7" x14ac:dyDescent="0.2">
      <c r="B35" s="55"/>
      <c r="C35" s="55" t="s">
        <v>242</v>
      </c>
    </row>
    <row r="36" spans="1:7" x14ac:dyDescent="0.2">
      <c r="B36" s="55"/>
      <c r="C36" s="55" t="s">
        <v>243</v>
      </c>
    </row>
    <row r="37" spans="1:7" x14ac:dyDescent="0.2">
      <c r="B37" s="55"/>
      <c r="C37" s="55" t="s">
        <v>246</v>
      </c>
    </row>
    <row r="38" spans="1:7" x14ac:dyDescent="0.2">
      <c r="B38" s="55"/>
      <c r="C38" s="55" t="s">
        <v>247</v>
      </c>
    </row>
    <row r="39" spans="1:7" x14ac:dyDescent="0.2">
      <c r="B39" s="55"/>
      <c r="C39" s="55" t="s">
        <v>248</v>
      </c>
    </row>
    <row r="40" spans="1:7" x14ac:dyDescent="0.2">
      <c r="B40" s="55"/>
      <c r="C40" s="55" t="s">
        <v>249</v>
      </c>
    </row>
    <row r="41" spans="1:7" x14ac:dyDescent="0.2">
      <c r="B41" s="55"/>
      <c r="C41" s="55" t="s">
        <v>250</v>
      </c>
    </row>
    <row r="42" spans="1:7" x14ac:dyDescent="0.2">
      <c r="B42" s="55"/>
      <c r="C42" s="55" t="s">
        <v>251</v>
      </c>
    </row>
    <row r="43" spans="1:7" x14ac:dyDescent="0.2">
      <c r="B43" s="55"/>
      <c r="C43" s="55" t="s">
        <v>252</v>
      </c>
    </row>
    <row r="44" spans="1:7" x14ac:dyDescent="0.2">
      <c r="B44" s="55"/>
      <c r="C44" s="55" t="s">
        <v>253</v>
      </c>
    </row>
    <row r="46" spans="1:7" x14ac:dyDescent="0.2">
      <c r="A46" s="21" t="s">
        <v>143</v>
      </c>
      <c r="B46" s="55" t="s">
        <v>131</v>
      </c>
      <c r="C46" s="55" t="s">
        <v>138</v>
      </c>
      <c r="D46" s="59">
        <v>45342</v>
      </c>
      <c r="E46" s="59" t="s">
        <v>177</v>
      </c>
      <c r="F46" s="59" t="s">
        <v>179</v>
      </c>
      <c r="G46" s="21">
        <v>4</v>
      </c>
    </row>
    <row r="47" spans="1:7" x14ac:dyDescent="0.2">
      <c r="C47" s="55" t="s">
        <v>144</v>
      </c>
      <c r="F47" s="60" t="s">
        <v>171</v>
      </c>
    </row>
    <row r="48" spans="1:7" x14ac:dyDescent="0.2">
      <c r="C48" s="55" t="s">
        <v>145</v>
      </c>
      <c r="F48" s="59" t="s">
        <v>79</v>
      </c>
    </row>
    <row r="49" spans="1:7" x14ac:dyDescent="0.2">
      <c r="C49" s="55" t="s">
        <v>146</v>
      </c>
      <c r="F49" s="60" t="s">
        <v>176</v>
      </c>
    </row>
    <row r="50" spans="1:7" x14ac:dyDescent="0.2">
      <c r="F50" s="59" t="s">
        <v>79</v>
      </c>
    </row>
    <row r="52" spans="1:7" x14ac:dyDescent="0.2">
      <c r="A52" s="21" t="s">
        <v>149</v>
      </c>
      <c r="B52" s="55" t="s">
        <v>150</v>
      </c>
      <c r="C52" s="55" t="s">
        <v>147</v>
      </c>
      <c r="D52" s="59">
        <v>45369</v>
      </c>
      <c r="E52" s="59" t="s">
        <v>177</v>
      </c>
      <c r="F52" s="59" t="s">
        <v>180</v>
      </c>
      <c r="G52" s="21">
        <v>5</v>
      </c>
    </row>
    <row r="53" spans="1:7" x14ac:dyDescent="0.2">
      <c r="C53" s="55"/>
      <c r="F53" s="60" t="s">
        <v>171</v>
      </c>
    </row>
    <row r="54" spans="1:7" x14ac:dyDescent="0.2">
      <c r="C54" s="55"/>
      <c r="F54" s="59" t="s">
        <v>181</v>
      </c>
    </row>
    <row r="55" spans="1:7" x14ac:dyDescent="0.2">
      <c r="C55" s="55"/>
      <c r="F55" s="60" t="s">
        <v>176</v>
      </c>
    </row>
    <row r="56" spans="1:7" x14ac:dyDescent="0.2">
      <c r="F56" s="59" t="s">
        <v>79</v>
      </c>
    </row>
    <row r="58" spans="1:7" x14ac:dyDescent="0.2">
      <c r="A58" s="21" t="s">
        <v>153</v>
      </c>
      <c r="B58" s="55" t="s">
        <v>151</v>
      </c>
      <c r="C58" s="55" t="s">
        <v>152</v>
      </c>
      <c r="D58" s="59">
        <v>45369</v>
      </c>
      <c r="E58" s="59" t="s">
        <v>177</v>
      </c>
      <c r="F58" s="59" t="s">
        <v>182</v>
      </c>
      <c r="G58" s="67" t="s">
        <v>274</v>
      </c>
    </row>
    <row r="59" spans="1:7" x14ac:dyDescent="0.2">
      <c r="C59" s="55" t="s">
        <v>154</v>
      </c>
      <c r="F59" s="60" t="s">
        <v>171</v>
      </c>
    </row>
    <row r="60" spans="1:7" x14ac:dyDescent="0.2">
      <c r="C60" s="55" t="s">
        <v>126</v>
      </c>
      <c r="F60" s="59" t="s">
        <v>183</v>
      </c>
    </row>
    <row r="61" spans="1:7" x14ac:dyDescent="0.2">
      <c r="C61" s="55"/>
      <c r="F61" s="60" t="s">
        <v>176</v>
      </c>
    </row>
    <row r="62" spans="1:7" x14ac:dyDescent="0.2">
      <c r="F62" s="59" t="s">
        <v>79</v>
      </c>
    </row>
    <row r="64" spans="1:7" x14ac:dyDescent="0.2">
      <c r="A64" t="s">
        <v>157</v>
      </c>
      <c r="B64" s="21" t="s">
        <v>156</v>
      </c>
      <c r="C64" s="21" t="s">
        <v>184</v>
      </c>
      <c r="D64" s="59">
        <v>45371</v>
      </c>
      <c r="E64" s="21" t="s">
        <v>169</v>
      </c>
      <c r="F64" s="21" t="s">
        <v>185</v>
      </c>
    </row>
    <row r="65" spans="1:6" x14ac:dyDescent="0.2">
      <c r="F65" s="60" t="s">
        <v>171</v>
      </c>
    </row>
    <row r="66" spans="1:6" x14ac:dyDescent="0.2">
      <c r="F66" s="59" t="s">
        <v>175</v>
      </c>
    </row>
    <row r="67" spans="1:6" x14ac:dyDescent="0.2">
      <c r="F67" s="60" t="s">
        <v>176</v>
      </c>
    </row>
    <row r="68" spans="1:6" x14ac:dyDescent="0.2">
      <c r="F68" s="59" t="s">
        <v>175</v>
      </c>
    </row>
    <row r="70" spans="1:6" x14ac:dyDescent="0.2">
      <c r="A70" t="s">
        <v>160</v>
      </c>
      <c r="B70" s="21" t="s">
        <v>156</v>
      </c>
      <c r="C70" s="21" t="s">
        <v>184</v>
      </c>
      <c r="D70" s="59">
        <v>45371</v>
      </c>
      <c r="E70" s="21" t="s">
        <v>169</v>
      </c>
      <c r="F70" s="21" t="s">
        <v>185</v>
      </c>
    </row>
    <row r="71" spans="1:6" x14ac:dyDescent="0.2">
      <c r="F71" s="60" t="s">
        <v>171</v>
      </c>
    </row>
    <row r="72" spans="1:6" x14ac:dyDescent="0.2">
      <c r="F72" s="59" t="s">
        <v>175</v>
      </c>
    </row>
    <row r="73" spans="1:6" x14ac:dyDescent="0.2">
      <c r="F73" s="60" t="s">
        <v>176</v>
      </c>
    </row>
    <row r="74" spans="1:6" x14ac:dyDescent="0.2">
      <c r="F74" s="59" t="s">
        <v>175</v>
      </c>
    </row>
    <row r="76" spans="1:6" x14ac:dyDescent="0.2">
      <c r="A76" t="s">
        <v>159</v>
      </c>
      <c r="B76" s="21" t="s">
        <v>156</v>
      </c>
      <c r="C76" s="21" t="s">
        <v>184</v>
      </c>
      <c r="D76" s="59">
        <v>45371</v>
      </c>
      <c r="E76" s="21" t="s">
        <v>169</v>
      </c>
      <c r="F76" s="21" t="s">
        <v>185</v>
      </c>
    </row>
    <row r="77" spans="1:6" x14ac:dyDescent="0.2">
      <c r="F77" s="60" t="s">
        <v>171</v>
      </c>
    </row>
    <row r="78" spans="1:6" x14ac:dyDescent="0.2">
      <c r="F78" s="59" t="s">
        <v>175</v>
      </c>
    </row>
    <row r="79" spans="1:6" x14ac:dyDescent="0.2">
      <c r="F79" s="60" t="s">
        <v>176</v>
      </c>
    </row>
    <row r="80" spans="1:6" x14ac:dyDescent="0.2">
      <c r="F80" s="59" t="s">
        <v>175</v>
      </c>
    </row>
    <row r="82" spans="1:7" x14ac:dyDescent="0.2">
      <c r="A82" t="s">
        <v>158</v>
      </c>
      <c r="B82" s="21" t="s">
        <v>156</v>
      </c>
      <c r="C82" s="21" t="s">
        <v>184</v>
      </c>
      <c r="D82" s="59">
        <v>45371</v>
      </c>
      <c r="E82" s="21" t="s">
        <v>169</v>
      </c>
      <c r="F82" s="21" t="s">
        <v>185</v>
      </c>
    </row>
    <row r="83" spans="1:7" x14ac:dyDescent="0.2">
      <c r="F83" s="60" t="s">
        <v>171</v>
      </c>
    </row>
    <row r="84" spans="1:7" x14ac:dyDescent="0.2">
      <c r="F84" s="59" t="s">
        <v>175</v>
      </c>
    </row>
    <row r="85" spans="1:7" x14ac:dyDescent="0.2">
      <c r="F85" s="60" t="s">
        <v>176</v>
      </c>
    </row>
    <row r="86" spans="1:7" x14ac:dyDescent="0.2">
      <c r="F86" s="59" t="s">
        <v>175</v>
      </c>
    </row>
    <row r="88" spans="1:7" x14ac:dyDescent="0.2">
      <c r="A88" s="55" t="s">
        <v>348</v>
      </c>
      <c r="B88" s="55" t="s">
        <v>333</v>
      </c>
      <c r="C88" s="21" t="s">
        <v>79</v>
      </c>
      <c r="D88" s="59">
        <v>45440</v>
      </c>
      <c r="E88" s="21" t="s">
        <v>177</v>
      </c>
      <c r="F88" s="21" t="s">
        <v>349</v>
      </c>
      <c r="G88" s="68" t="s">
        <v>353</v>
      </c>
    </row>
    <row r="89" spans="1:7" x14ac:dyDescent="0.2">
      <c r="C89" s="21" t="s">
        <v>328</v>
      </c>
      <c r="F89" s="60" t="s">
        <v>171</v>
      </c>
    </row>
    <row r="90" spans="1:7" x14ac:dyDescent="0.2">
      <c r="C90" s="21" t="s">
        <v>329</v>
      </c>
      <c r="F90" s="59" t="s">
        <v>350</v>
      </c>
    </row>
    <row r="91" spans="1:7" x14ac:dyDescent="0.2">
      <c r="C91" s="21" t="s">
        <v>330</v>
      </c>
      <c r="F91" s="60" t="s">
        <v>176</v>
      </c>
    </row>
    <row r="92" spans="1:7" x14ac:dyDescent="0.2">
      <c r="C92" s="21" t="s">
        <v>331</v>
      </c>
      <c r="F92" s="59" t="s">
        <v>350</v>
      </c>
    </row>
    <row r="93" spans="1:7" x14ac:dyDescent="0.2">
      <c r="C93" s="21" t="s">
        <v>332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38"/>
  <sheetViews>
    <sheetView workbookViewId="0">
      <selection activeCell="J7" sqref="C7:J23"/>
    </sheetView>
  </sheetViews>
  <sheetFormatPr baseColWidth="10" defaultColWidth="9" defaultRowHeight="15" x14ac:dyDescent="0.2"/>
  <cols>
    <col min="2" max="2" width="33.5" customWidth="1"/>
    <col min="3" max="3" width="51.83203125" customWidth="1"/>
  </cols>
  <sheetData>
    <row r="1" spans="2:14" ht="144" x14ac:dyDescent="0.2">
      <c r="B1" s="25" t="s">
        <v>186</v>
      </c>
      <c r="C1" s="26" t="s">
        <v>187</v>
      </c>
      <c r="D1" s="26" t="s">
        <v>188</v>
      </c>
      <c r="E1" s="25" t="s">
        <v>189</v>
      </c>
      <c r="F1" s="25" t="s">
        <v>190</v>
      </c>
      <c r="G1" s="25" t="s">
        <v>191</v>
      </c>
      <c r="H1" s="25" t="s">
        <v>192</v>
      </c>
      <c r="I1" s="25" t="s">
        <v>193</v>
      </c>
      <c r="J1" s="25" t="s">
        <v>194</v>
      </c>
      <c r="K1" s="25" t="s">
        <v>195</v>
      </c>
      <c r="L1" s="25" t="s">
        <v>196</v>
      </c>
      <c r="M1" s="25" t="s">
        <v>197</v>
      </c>
      <c r="N1" s="25" t="s">
        <v>198</v>
      </c>
    </row>
    <row r="2" spans="2:14" x14ac:dyDescent="0.2">
      <c r="B2" s="4" t="s">
        <v>10</v>
      </c>
      <c r="C2" s="27">
        <v>1</v>
      </c>
      <c r="D2" s="27" t="s">
        <v>199</v>
      </c>
      <c r="E2" t="s">
        <v>200</v>
      </c>
      <c r="F2" t="s">
        <v>276</v>
      </c>
      <c r="G2">
        <v>2010</v>
      </c>
      <c r="H2" t="s">
        <v>275</v>
      </c>
      <c r="J2" t="s">
        <v>256</v>
      </c>
      <c r="K2" s="65" t="s">
        <v>258</v>
      </c>
    </row>
    <row r="3" spans="2:14" x14ac:dyDescent="0.2">
      <c r="B3" s="4" t="s">
        <v>10</v>
      </c>
      <c r="C3" s="27">
        <v>2</v>
      </c>
      <c r="D3" s="27" t="s">
        <v>207</v>
      </c>
      <c r="E3" t="s">
        <v>200</v>
      </c>
      <c r="F3" t="s">
        <v>254</v>
      </c>
      <c r="G3">
        <v>2012</v>
      </c>
      <c r="H3" t="s">
        <v>255</v>
      </c>
      <c r="J3" t="s">
        <v>257</v>
      </c>
      <c r="K3" s="65"/>
    </row>
    <row r="4" spans="2:14" x14ac:dyDescent="0.2">
      <c r="B4" s="4" t="s">
        <v>10</v>
      </c>
      <c r="C4" s="27">
        <v>3</v>
      </c>
      <c r="D4" s="27" t="s">
        <v>201</v>
      </c>
      <c r="E4" t="s">
        <v>202</v>
      </c>
      <c r="F4" t="s">
        <v>203</v>
      </c>
      <c r="G4">
        <v>2015</v>
      </c>
      <c r="H4" t="s">
        <v>204</v>
      </c>
      <c r="I4" t="s">
        <v>205</v>
      </c>
      <c r="K4" s="65" t="s">
        <v>206</v>
      </c>
    </row>
    <row r="5" spans="2:14" x14ac:dyDescent="0.2">
      <c r="B5" s="4" t="s">
        <v>10</v>
      </c>
      <c r="C5" s="27">
        <v>4</v>
      </c>
      <c r="D5" t="s">
        <v>207</v>
      </c>
      <c r="E5" t="s">
        <v>208</v>
      </c>
      <c r="F5" t="s">
        <v>209</v>
      </c>
      <c r="G5">
        <v>2020</v>
      </c>
      <c r="H5" t="s">
        <v>210</v>
      </c>
      <c r="J5" s="65" t="s">
        <v>211</v>
      </c>
      <c r="N5" s="64"/>
    </row>
    <row r="6" spans="2:14" x14ac:dyDescent="0.2">
      <c r="B6" s="4" t="s">
        <v>10</v>
      </c>
      <c r="C6" s="27">
        <v>5</v>
      </c>
      <c r="D6" t="s">
        <v>212</v>
      </c>
      <c r="E6" t="s">
        <v>213</v>
      </c>
      <c r="F6" t="s">
        <v>214</v>
      </c>
      <c r="G6">
        <v>2023</v>
      </c>
      <c r="H6" t="s">
        <v>215</v>
      </c>
      <c r="I6" t="s">
        <v>216</v>
      </c>
      <c r="K6" s="65" t="s">
        <v>217</v>
      </c>
    </row>
    <row r="7" spans="2:14" x14ac:dyDescent="0.2">
      <c r="B7" s="4" t="s">
        <v>10</v>
      </c>
      <c r="C7" s="27">
        <v>6</v>
      </c>
      <c r="K7" t="s">
        <v>351</v>
      </c>
    </row>
    <row r="8" spans="2:14" x14ac:dyDescent="0.2">
      <c r="B8" s="4" t="s">
        <v>10</v>
      </c>
      <c r="C8" s="27">
        <v>7</v>
      </c>
      <c r="K8" t="s">
        <v>334</v>
      </c>
    </row>
    <row r="9" spans="2:14" x14ac:dyDescent="0.2">
      <c r="B9" s="4" t="s">
        <v>10</v>
      </c>
      <c r="C9" s="27">
        <v>8</v>
      </c>
      <c r="K9" t="s">
        <v>335</v>
      </c>
    </row>
    <row r="10" spans="2:14" x14ac:dyDescent="0.2">
      <c r="B10" s="4" t="s">
        <v>10</v>
      </c>
      <c r="C10" s="27">
        <v>9</v>
      </c>
      <c r="K10" t="s">
        <v>336</v>
      </c>
    </row>
    <row r="11" spans="2:14" x14ac:dyDescent="0.2">
      <c r="B11" s="4" t="s">
        <v>10</v>
      </c>
      <c r="C11" s="27">
        <v>10</v>
      </c>
      <c r="K11" t="s">
        <v>337</v>
      </c>
    </row>
    <row r="12" spans="2:14" x14ac:dyDescent="0.2">
      <c r="B12" s="4" t="s">
        <v>10</v>
      </c>
      <c r="C12" s="27">
        <v>11</v>
      </c>
      <c r="K12" t="s">
        <v>338</v>
      </c>
    </row>
    <row r="13" spans="2:14" x14ac:dyDescent="0.2">
      <c r="B13" s="4" t="s">
        <v>10</v>
      </c>
      <c r="C13" s="27">
        <v>12</v>
      </c>
      <c r="K13" t="s">
        <v>339</v>
      </c>
    </row>
    <row r="14" spans="2:14" x14ac:dyDescent="0.2">
      <c r="B14" s="4" t="s">
        <v>10</v>
      </c>
      <c r="C14" s="27">
        <v>13</v>
      </c>
      <c r="K14" t="s">
        <v>340</v>
      </c>
    </row>
    <row r="15" spans="2:14" x14ac:dyDescent="0.2">
      <c r="B15" s="4" t="s">
        <v>10</v>
      </c>
      <c r="C15" s="27">
        <v>14</v>
      </c>
      <c r="K15" t="s">
        <v>341</v>
      </c>
    </row>
    <row r="16" spans="2:14" x14ac:dyDescent="0.2">
      <c r="B16" s="4" t="s">
        <v>10</v>
      </c>
      <c r="C16" s="27">
        <v>15</v>
      </c>
      <c r="K16" t="s">
        <v>342</v>
      </c>
    </row>
    <row r="17" spans="2:11" x14ac:dyDescent="0.2">
      <c r="B17" s="4" t="s">
        <v>10</v>
      </c>
      <c r="C17" s="27">
        <v>16</v>
      </c>
      <c r="K17" t="s">
        <v>352</v>
      </c>
    </row>
    <row r="18" spans="2:11" x14ac:dyDescent="0.2">
      <c r="B18" s="4" t="s">
        <v>10</v>
      </c>
      <c r="C18" s="27">
        <v>17</v>
      </c>
      <c r="K18" t="s">
        <v>343</v>
      </c>
    </row>
    <row r="19" spans="2:11" x14ac:dyDescent="0.2">
      <c r="B19" s="4" t="s">
        <v>10</v>
      </c>
      <c r="C19" s="27">
        <v>18</v>
      </c>
      <c r="K19" t="s">
        <v>344</v>
      </c>
    </row>
    <row r="20" spans="2:11" x14ac:dyDescent="0.2">
      <c r="B20" s="4" t="s">
        <v>10</v>
      </c>
      <c r="C20" s="27">
        <v>19</v>
      </c>
      <c r="K20" t="s">
        <v>345</v>
      </c>
    </row>
    <row r="21" spans="2:11" x14ac:dyDescent="0.2">
      <c r="B21" s="4" t="s">
        <v>10</v>
      </c>
      <c r="C21" s="27">
        <v>20</v>
      </c>
      <c r="K21" t="s">
        <v>346</v>
      </c>
    </row>
    <row r="22" spans="2:11" x14ac:dyDescent="0.2">
      <c r="B22" s="4" t="s">
        <v>10</v>
      </c>
      <c r="C22" s="27">
        <v>21</v>
      </c>
      <c r="K22" t="s">
        <v>347</v>
      </c>
    </row>
    <row r="23" spans="2:11" x14ac:dyDescent="0.2">
      <c r="B23" s="4"/>
      <c r="C23" s="27"/>
    </row>
    <row r="24" spans="2:11" x14ac:dyDescent="0.2">
      <c r="B24" s="4"/>
      <c r="C24" s="27"/>
    </row>
    <row r="25" spans="2:11" x14ac:dyDescent="0.2">
      <c r="B25" s="4"/>
      <c r="C25" s="27"/>
    </row>
    <row r="26" spans="2:11" x14ac:dyDescent="0.2">
      <c r="B26" s="4"/>
      <c r="C26" s="27"/>
    </row>
    <row r="27" spans="2:11" x14ac:dyDescent="0.2">
      <c r="B27" s="4"/>
      <c r="C27" s="27"/>
    </row>
    <row r="28" spans="2:11" x14ac:dyDescent="0.2">
      <c r="B28" s="4"/>
      <c r="C28" s="27"/>
    </row>
    <row r="29" spans="2:11" x14ac:dyDescent="0.2">
      <c r="B29" s="4"/>
      <c r="C29" s="27"/>
    </row>
    <row r="30" spans="2:11" x14ac:dyDescent="0.2">
      <c r="B30" s="4"/>
      <c r="C30" s="27"/>
    </row>
    <row r="31" spans="2:11" x14ac:dyDescent="0.2">
      <c r="B31" s="4"/>
      <c r="C31" s="27"/>
    </row>
    <row r="32" spans="2:11" x14ac:dyDescent="0.2">
      <c r="B32" s="4"/>
      <c r="C32" s="27"/>
    </row>
    <row r="33" spans="2:3" x14ac:dyDescent="0.2">
      <c r="B33" s="4"/>
      <c r="C33" s="27"/>
    </row>
    <row r="34" spans="2:3" x14ac:dyDescent="0.2">
      <c r="B34" s="4"/>
      <c r="C34" s="27"/>
    </row>
    <row r="35" spans="2:3" x14ac:dyDescent="0.2">
      <c r="B35" s="4"/>
      <c r="C35" s="27"/>
    </row>
    <row r="36" spans="2:3" x14ac:dyDescent="0.2">
      <c r="B36" s="4"/>
      <c r="C36" s="27"/>
    </row>
    <row r="37" spans="2:3" x14ac:dyDescent="0.2">
      <c r="B37" s="4"/>
      <c r="C37" s="27"/>
    </row>
    <row r="38" spans="2:3" x14ac:dyDescent="0.2">
      <c r="B38" s="4"/>
      <c r="C38" s="27"/>
    </row>
  </sheetData>
  <hyperlinks>
    <hyperlink ref="K2" r:id="rId1" display="https://publications.anl.gov/anlpubs/2010/10/68288.pdf" xr:uid="{F5334D2A-B58B-4D72-968B-E1AC486B3B8F}"/>
    <hyperlink ref="K4" r:id="rId2" xr:uid="{EAECABB1-AA97-4A6C-BDF4-A3011920A51D}"/>
    <hyperlink ref="J5" r:id="rId3" xr:uid="{C9D0A486-76DA-429E-AE2D-AC5DC0B5FA83}"/>
    <hyperlink ref="K6" r:id="rId4" xr:uid="{095BEEBB-82F5-4879-A04F-1E1EDA33EB2C}"/>
  </hyperlinks>
  <pageMargins left="0.7" right="0.7" top="0.78740157499999996" bottom="0.78740157499999996" header="0.3" footer="0.3"/>
  <pageSetup orientation="portrait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9"/>
  <sheetViews>
    <sheetView workbookViewId="0">
      <selection activeCell="G38" sqref="G38"/>
    </sheetView>
  </sheetViews>
  <sheetFormatPr baseColWidth="10" defaultColWidth="9" defaultRowHeight="15" x14ac:dyDescent="0.2"/>
  <cols>
    <col min="1" max="1" width="44.1640625" customWidth="1"/>
  </cols>
  <sheetData>
    <row r="1" spans="1:22" x14ac:dyDescent="0.2">
      <c r="A1" t="s">
        <v>218</v>
      </c>
    </row>
    <row r="3" spans="1:22" x14ac:dyDescent="0.2">
      <c r="V3" t="s">
        <v>272</v>
      </c>
    </row>
    <row r="4" spans="1:22" x14ac:dyDescent="0.2">
      <c r="A4" t="s">
        <v>219</v>
      </c>
      <c r="M4" t="s">
        <v>221</v>
      </c>
      <c r="N4" t="s">
        <v>222</v>
      </c>
      <c r="V4" t="s">
        <v>273</v>
      </c>
    </row>
    <row r="5" spans="1:22" x14ac:dyDescent="0.2">
      <c r="M5">
        <v>1</v>
      </c>
      <c r="N5">
        <v>3.6</v>
      </c>
    </row>
    <row r="7" spans="1:22" x14ac:dyDescent="0.2">
      <c r="N7" t="s">
        <v>235</v>
      </c>
    </row>
    <row r="8" spans="1:22" x14ac:dyDescent="0.2">
      <c r="N8" t="s">
        <v>234</v>
      </c>
      <c r="O8" t="s">
        <v>237</v>
      </c>
      <c r="Q8" t="s">
        <v>238</v>
      </c>
    </row>
    <row r="9" spans="1:22" x14ac:dyDescent="0.2">
      <c r="M9" t="s">
        <v>223</v>
      </c>
      <c r="N9">
        <v>867</v>
      </c>
      <c r="O9">
        <f>N9*3.6/1000</f>
        <v>3.1212000000000004</v>
      </c>
      <c r="Q9">
        <v>5.0119999999999996</v>
      </c>
      <c r="R9">
        <f>SUM(O9,Q9)</f>
        <v>8.1332000000000004</v>
      </c>
    </row>
    <row r="10" spans="1:22" x14ac:dyDescent="0.2">
      <c r="M10" t="s">
        <v>224</v>
      </c>
      <c r="N10">
        <v>2201</v>
      </c>
      <c r="O10">
        <f t="shared" ref="O10:O19" si="0">N10*3.6/1000</f>
        <v>7.9236000000000004</v>
      </c>
      <c r="Q10">
        <v>8.0779999999999994</v>
      </c>
      <c r="R10">
        <f t="shared" ref="R10:R19" si="1">SUM(O10,Q10)</f>
        <v>16.0016</v>
      </c>
    </row>
    <row r="11" spans="1:22" x14ac:dyDescent="0.2">
      <c r="M11" t="s">
        <v>225</v>
      </c>
      <c r="N11">
        <v>1316</v>
      </c>
      <c r="O11">
        <f t="shared" si="0"/>
        <v>4.7376000000000005</v>
      </c>
      <c r="Q11">
        <v>4.5270000000000001</v>
      </c>
      <c r="R11">
        <f t="shared" si="1"/>
        <v>9.2646000000000015</v>
      </c>
    </row>
    <row r="12" spans="1:22" x14ac:dyDescent="0.2">
      <c r="M12" t="s">
        <v>226</v>
      </c>
      <c r="N12">
        <v>1287</v>
      </c>
      <c r="O12">
        <f t="shared" si="0"/>
        <v>4.6331999999999995</v>
      </c>
      <c r="Q12">
        <v>4.375</v>
      </c>
      <c r="R12">
        <f t="shared" si="1"/>
        <v>9.0081999999999987</v>
      </c>
    </row>
    <row r="13" spans="1:22" x14ac:dyDescent="0.2">
      <c r="M13" t="s">
        <v>227</v>
      </c>
      <c r="N13">
        <v>984</v>
      </c>
      <c r="O13">
        <f t="shared" si="0"/>
        <v>3.5424000000000002</v>
      </c>
      <c r="Q13">
        <v>3.972</v>
      </c>
      <c r="R13">
        <f t="shared" si="1"/>
        <v>7.5144000000000002</v>
      </c>
    </row>
    <row r="14" spans="1:22" x14ac:dyDescent="0.2">
      <c r="M14" t="s">
        <v>228</v>
      </c>
      <c r="N14">
        <v>1535</v>
      </c>
      <c r="O14">
        <f t="shared" si="0"/>
        <v>5.5259999999999998</v>
      </c>
      <c r="Q14">
        <v>5.3940000000000001</v>
      </c>
      <c r="R14">
        <f t="shared" si="1"/>
        <v>10.92</v>
      </c>
    </row>
    <row r="15" spans="1:22" x14ac:dyDescent="0.2">
      <c r="M15" t="s">
        <v>229</v>
      </c>
      <c r="N15">
        <v>745</v>
      </c>
      <c r="O15">
        <f t="shared" si="0"/>
        <v>2.6819999999999999</v>
      </c>
      <c r="Q15">
        <v>1.385</v>
      </c>
      <c r="R15">
        <f t="shared" si="1"/>
        <v>4.0670000000000002</v>
      </c>
    </row>
    <row r="16" spans="1:22" x14ac:dyDescent="0.2">
      <c r="M16" t="s">
        <v>230</v>
      </c>
      <c r="N16">
        <v>1118</v>
      </c>
      <c r="O16">
        <f t="shared" si="0"/>
        <v>4.0247999999999999</v>
      </c>
      <c r="Q16">
        <v>3.3780000000000001</v>
      </c>
      <c r="R16">
        <f t="shared" si="1"/>
        <v>7.4028</v>
      </c>
    </row>
    <row r="17" spans="1:18" x14ac:dyDescent="0.2">
      <c r="M17" t="s">
        <v>231</v>
      </c>
      <c r="N17">
        <v>923</v>
      </c>
      <c r="O17">
        <f t="shared" si="0"/>
        <v>3.3228</v>
      </c>
      <c r="Q17">
        <v>3.3410000000000002</v>
      </c>
      <c r="R17">
        <f t="shared" si="1"/>
        <v>6.6638000000000002</v>
      </c>
    </row>
    <row r="18" spans="1:18" x14ac:dyDescent="0.2">
      <c r="M18" t="s">
        <v>232</v>
      </c>
      <c r="N18">
        <v>997</v>
      </c>
      <c r="O18">
        <f t="shared" si="0"/>
        <v>3.5892000000000004</v>
      </c>
      <c r="Q18">
        <v>0.90100000000000002</v>
      </c>
      <c r="R18">
        <f t="shared" si="1"/>
        <v>4.4902000000000006</v>
      </c>
    </row>
    <row r="19" spans="1:18" x14ac:dyDescent="0.2">
      <c r="M19" t="s">
        <v>233</v>
      </c>
      <c r="N19">
        <v>1203</v>
      </c>
      <c r="O19">
        <f t="shared" si="0"/>
        <v>4.3308</v>
      </c>
      <c r="Q19">
        <v>2.5310000000000001</v>
      </c>
      <c r="R19">
        <f t="shared" si="1"/>
        <v>6.8618000000000006</v>
      </c>
    </row>
    <row r="21" spans="1:18" x14ac:dyDescent="0.2">
      <c r="M21" t="s">
        <v>236</v>
      </c>
    </row>
    <row r="22" spans="1:18" x14ac:dyDescent="0.2">
      <c r="M22" t="s">
        <v>239</v>
      </c>
    </row>
    <row r="29" spans="1:18" x14ac:dyDescent="0.2">
      <c r="A29" t="s">
        <v>220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3872A6-C9FE-47F0-9957-A983EF5ADF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E9F9AD-9826-4275-8CAC-04A63EEBC2EE}">
  <ds:schemaRefs>
    <ds:schemaRef ds:uri="http://purl.org/dc/terms/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0592d07a-1af2-4331-8b44-ea7e2815515f"/>
    <ds:schemaRef ds:uri="http://www.w3.org/XML/1998/namespace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849E997-BCEF-45F0-852C-E8B379F267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Data</vt:lpstr>
      <vt:lpstr>log</vt:lpstr>
      <vt:lpstr>ref</vt:lpstr>
      <vt:lpstr>raw_data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9449</cp:lastModifiedBy>
  <cp:revision/>
  <dcterms:created xsi:type="dcterms:W3CDTF">2006-09-16T00:00:00Z</dcterms:created>
  <dcterms:modified xsi:type="dcterms:W3CDTF">2025-02-20T17:29:12Z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  <property fmtid="{D5CDD505-2E9C-101B-9397-08002B2CF9AE}" pid="4" name="SaveCode">
    <vt:r8>736556470394134</vt:r8>
  </property>
</Properties>
</file>