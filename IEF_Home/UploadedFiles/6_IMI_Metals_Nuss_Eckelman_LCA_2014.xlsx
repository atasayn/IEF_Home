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fan Pauliuk\FILES\ARBEIT\PROJECTS\Database\IE_DataCommons\NEW\NEW_LIST\"/>
    </mc:Choice>
  </mc:AlternateContent>
  <xr:revisionPtr revIDLastSave="0" documentId="13_ncr:1_{142B1049-79E8-4230-93B8-E67EF356FEA6}" xr6:coauthVersionLast="36" xr6:coauthVersionMax="47" xr10:uidLastSave="{00000000-0000-0000-0000-000000000000}"/>
  <bookViews>
    <workbookView xWindow="0" yWindow="0" windowWidth="20922" windowHeight="9372" activeTab="1" xr2:uid="{00000000-000D-0000-FFFF-FFFF00000000}"/>
  </bookViews>
  <sheets>
    <sheet name="Cover" sheetId="2" r:id="rId1"/>
    <sheet name="Data" sheetId="3" r:id="rId2"/>
    <sheet name="__" sheetId="4" r:id="rId3"/>
    <sheet name="Paper_SI_extract" sheetId="1" r:id="rId4"/>
  </sheets>
  <calcPr calcId="191029"/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3" i="1" l="1"/>
</calcChain>
</file>

<file path=xl/sharedStrings.xml><?xml version="1.0" encoding="utf-8"?>
<sst xmlns="http://schemas.openxmlformats.org/spreadsheetml/2006/main" count="1792" uniqueCount="421">
  <si>
    <t>Material</t>
  </si>
  <si>
    <t>Re</t>
  </si>
  <si>
    <t>Andrae et al (2008) [83]</t>
  </si>
  <si>
    <t xml:space="preserve">He </t>
  </si>
  <si>
    <t>Comment</t>
  </si>
  <si>
    <t xml:space="preserve">Li </t>
  </si>
  <si>
    <t xml:space="preserve">Be </t>
  </si>
  <si>
    <t>Assessment by the authors</t>
  </si>
  <si>
    <t>Idemat 2001 [34]</t>
  </si>
  <si>
    <t xml:space="preserve">B </t>
  </si>
  <si>
    <t xml:space="preserve">Mg </t>
  </si>
  <si>
    <t xml:space="preserve">Al </t>
  </si>
  <si>
    <t xml:space="preserve">Ca </t>
  </si>
  <si>
    <t xml:space="preserve">Sc </t>
  </si>
  <si>
    <t xml:space="preserve">Ti </t>
  </si>
  <si>
    <t xml:space="preserve">V </t>
  </si>
  <si>
    <t xml:space="preserve">Cr </t>
  </si>
  <si>
    <t xml:space="preserve">Mn </t>
  </si>
  <si>
    <t xml:space="preserve">Fe </t>
  </si>
  <si>
    <t xml:space="preserve">Co </t>
  </si>
  <si>
    <t xml:space="preserve">Ni </t>
  </si>
  <si>
    <t xml:space="preserve">Cu </t>
  </si>
  <si>
    <t xml:space="preserve">Zn </t>
  </si>
  <si>
    <t xml:space="preserve">Ga </t>
  </si>
  <si>
    <t xml:space="preserve">Ge </t>
  </si>
  <si>
    <t xml:space="preserve">As </t>
  </si>
  <si>
    <t xml:space="preserve">Se </t>
  </si>
  <si>
    <t xml:space="preserve">Sr </t>
  </si>
  <si>
    <t xml:space="preserve">Y </t>
  </si>
  <si>
    <t xml:space="preserve">Zr </t>
  </si>
  <si>
    <t xml:space="preserve">Nb </t>
  </si>
  <si>
    <t xml:space="preserve">Mo </t>
  </si>
  <si>
    <t xml:space="preserve">Ru </t>
  </si>
  <si>
    <t xml:space="preserve">Rh </t>
  </si>
  <si>
    <t xml:space="preserve">Pd </t>
  </si>
  <si>
    <t xml:space="preserve">Ag </t>
  </si>
  <si>
    <t xml:space="preserve">Cd </t>
  </si>
  <si>
    <t xml:space="preserve">In </t>
  </si>
  <si>
    <t xml:space="preserve">Sn </t>
  </si>
  <si>
    <t xml:space="preserve">Sb </t>
  </si>
  <si>
    <t xml:space="preserve">Te </t>
  </si>
  <si>
    <t xml:space="preserve">Ba </t>
  </si>
  <si>
    <t xml:space="preserve">La </t>
  </si>
  <si>
    <t xml:space="preserve">Ce </t>
  </si>
  <si>
    <t xml:space="preserve">Pr </t>
  </si>
  <si>
    <t xml:space="preserve">Nd </t>
  </si>
  <si>
    <t xml:space="preserve">Sm </t>
  </si>
  <si>
    <t xml:space="preserve">Eu </t>
  </si>
  <si>
    <t xml:space="preserve">Gd </t>
  </si>
  <si>
    <t xml:space="preserve">Tb </t>
  </si>
  <si>
    <t xml:space="preserve">Dy </t>
  </si>
  <si>
    <t xml:space="preserve">Ho </t>
  </si>
  <si>
    <t xml:space="preserve">Er </t>
  </si>
  <si>
    <t xml:space="preserve">Tm </t>
  </si>
  <si>
    <t xml:space="preserve">Yb </t>
  </si>
  <si>
    <t xml:space="preserve">Lu </t>
  </si>
  <si>
    <t xml:space="preserve">Hf </t>
  </si>
  <si>
    <t xml:space="preserve">Ta </t>
  </si>
  <si>
    <t xml:space="preserve">W </t>
  </si>
  <si>
    <t xml:space="preserve">Os </t>
  </si>
  <si>
    <t xml:space="preserve">Ir </t>
  </si>
  <si>
    <t xml:space="preserve">Pt </t>
  </si>
  <si>
    <t xml:space="preserve">Au </t>
  </si>
  <si>
    <t xml:space="preserve">Hg </t>
  </si>
  <si>
    <t xml:space="preserve">Tl </t>
  </si>
  <si>
    <t xml:space="preserve">Pb </t>
  </si>
  <si>
    <t xml:space="preserve">Bi </t>
  </si>
  <si>
    <t xml:space="preserve">Th </t>
  </si>
  <si>
    <t xml:space="preserve">U </t>
  </si>
  <si>
    <t>Ecoinvent 2.2 [4]</t>
  </si>
  <si>
    <t>[4] Ecoinvent (2010) Ecoinvent Life Cycle Inventory database v2.2. Swiss Centre for Life Cycle Inventories. Available: http://www.ecoinvent.ch/. Accessed 7 November 2010.</t>
  </si>
  <si>
    <t>[83] Andrae ASG, Itsubo N, Yamaguchi H, Inaba A (2008) Life Cycle Assessment of Japanese High-Temperature Conductive Adhesives. Environ Sci Technol 42: 3084–3089. Available: http://dx.doi.org/10.1021/es0709829.</t>
  </si>
  <si>
    <t>[34] TU Delft (2001) IdEMAT Life Cycle Inventory Database. Available: http://www.idemat.nl/. Accessed 27 August 2012.</t>
  </si>
  <si>
    <t>Source : https://journals.plos.org/plosone/article?id=10.1371/journal.pone.0101298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</si>
  <si>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</si>
  <si>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</si>
  <si>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</si>
  <si>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</si>
  <si>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</si>
  <si>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</si>
  <si>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</si>
  <si>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</si>
  <si>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</si>
  <si>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</si>
  <si>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</si>
  <si>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</si>
  <si>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</si>
  <si>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</si>
  <si>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</si>
  <si>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</si>
  <si>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</si>
  <si>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</si>
  <si>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</si>
  <si>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</si>
  <si>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Misc_intensive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</si>
  <si>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</si>
  <si>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</si>
  <si>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</si>
  <si>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</si>
  <si>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</si>
  <si>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</si>
  <si>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</si>
  <si>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</si>
  <si>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</si>
  <si>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</si>
  <si>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</si>
  <si>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</si>
  <si>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</si>
  <si>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none</t>
  </si>
  <si>
    <t>region</t>
  </si>
  <si>
    <t>unit nominator</t>
  </si>
  <si>
    <t>product_resolution</t>
  </si>
  <si>
    <t>unit denominator</t>
  </si>
  <si>
    <t>material_scope</t>
  </si>
  <si>
    <t>time</t>
  </si>
  <si>
    <t>stats_array_string</t>
  </si>
  <si>
    <t>material_resolution</t>
  </si>
  <si>
    <t>comment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</si>
  <si>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</si>
  <si>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</si>
  <si>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</si>
  <si>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</si>
  <si>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</si>
  <si>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</si>
  <si>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</si>
  <si>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</si>
  <si>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</si>
  <si>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</si>
  <si>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</si>
  <si>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</si>
  <si>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</si>
  <si>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</si>
  <si>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</si>
  <si>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</si>
  <si>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</si>
  <si>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</si>
  <si>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</si>
  <si>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</si>
  <si>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</si>
  <si>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</si>
  <si>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</si>
  <si>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</si>
  <si>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</si>
  <si>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</si>
  <si>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</si>
  <si>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</si>
  <si>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</si>
  <si>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</si>
  <si>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</si>
  <si>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</si>
  <si>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</si>
  <si>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</si>
  <si>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</si>
  <si>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</si>
  <si>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</si>
  <si>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</si>
  <si>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</si>
  <si>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</si>
  <si>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</si>
  <si>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</si>
  <si>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</si>
  <si>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</si>
  <si>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</si>
  <si>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</si>
  <si>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</si>
  <si>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</si>
  <si>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</si>
  <si>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</si>
  <si>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Stefan Pauliuk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</si>
  <si>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</si>
  <si>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</si>
  <si>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</si>
  <si>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</si>
  <si>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</si>
  <si>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</si>
  <si>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</si>
  <si>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</si>
  <si>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</si>
  <si>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</si>
  <si>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stats_array string</t>
  </si>
  <si>
    <t>6_IMI_Metals_Nuss_Eckelman_LCA_2014</t>
  </si>
  <si>
    <t>from_SI</t>
  </si>
  <si>
    <r>
      <rPr>
        <b/>
        <sz val="10"/>
        <rFont val="Arial"/>
        <family val="2"/>
      </rPr>
      <t>CED
[MJ/kg]</t>
    </r>
  </si>
  <si>
    <r>
      <rPr>
        <b/>
        <sz val="10"/>
        <rFont val="Arial"/>
        <family val="2"/>
      </rPr>
      <t>CED - 2.5%
[MJ/kg]</t>
    </r>
  </si>
  <si>
    <r>
      <rPr>
        <b/>
        <sz val="10"/>
        <rFont val="Arial"/>
        <family val="2"/>
      </rPr>
      <t>CED - 97.5%
[MJ/kg]</t>
    </r>
  </si>
  <si>
    <r>
      <rPr>
        <b/>
        <sz val="10"/>
        <rFont val="Arial"/>
        <family val="2"/>
      </rPr>
      <t>GWP - 2.5%
[kg CO2-
eq/ kg]</t>
    </r>
  </si>
  <si>
    <r>
      <rPr>
        <b/>
        <sz val="10"/>
        <rFont val="Arial"/>
        <family val="2"/>
      </rPr>
      <t>GWP - 97.5%
[kg CO2-
eq/ kg]</t>
    </r>
  </si>
  <si>
    <r>
      <rPr>
        <sz val="10"/>
        <rFont val="Arial"/>
        <family val="2"/>
      </rPr>
      <t>Ecoinvent 2.2
[4]</t>
    </r>
  </si>
  <si>
    <t>stats_array_string_1</t>
  </si>
  <si>
    <t>stats_array_string_2</t>
  </si>
  <si>
    <t>stats_array_string_3</t>
  </si>
  <si>
    <t>stats_array_string_4</t>
  </si>
  <si>
    <t>27;94;161;none</t>
  </si>
  <si>
    <t>27;1020;3440;none</t>
  </si>
  <si>
    <t>27;53800;259000;none</t>
  </si>
  <si>
    <t>27;103;130;none</t>
  </si>
  <si>
    <t>27;306;844;none</t>
  </si>
  <si>
    <t>27;1520;5350;none</t>
  </si>
  <si>
    <t>27;1870;4570;none</t>
  </si>
  <si>
    <t>27;231;374;none</t>
  </si>
  <si>
    <t>27;132;224;none</t>
  </si>
  <si>
    <t>27;29700;54700;none</t>
  </si>
  <si>
    <t>27;504000;911000;none</t>
  </si>
  <si>
    <t>27;55500;95500;none</t>
  </si>
  <si>
    <t>27;2740;3950;none</t>
  </si>
  <si>
    <t>27;1170;2520;none</t>
  </si>
  <si>
    <t>27;201;496;none</t>
  </si>
  <si>
    <t>27;332;559;none</t>
  </si>
  <si>
    <t>27;172;275;none</t>
  </si>
  <si>
    <t>27;198;326;none</t>
  </si>
  <si>
    <t>27;301;475;none</t>
  </si>
  <si>
    <t>27;267;437;none</t>
  </si>
  <si>
    <t>27;915;1490;none</t>
  </si>
  <si>
    <t>27;6020;10100;none</t>
  </si>
  <si>
    <t>27;726;1170;none</t>
  </si>
  <si>
    <t>27;4600;7510;none</t>
  </si>
  <si>
    <t>27;904;1480;none</t>
  </si>
  <si>
    <t>27;3400;5510;none</t>
  </si>
  <si>
    <t>27;751;1260;none</t>
  </si>
  <si>
    <t>27;10100;16200;none</t>
  </si>
  <si>
    <t>27;1930;3080;none</t>
  </si>
  <si>
    <t>27;13500;22700;none</t>
  </si>
  <si>
    <t>27;1900;7050;none</t>
  </si>
  <si>
    <t>27;3460;5570;none</t>
  </si>
  <si>
    <t>27;104;173;none</t>
  </si>
  <si>
    <t>27;4470;16300;none</t>
  </si>
  <si>
    <t>27;64600;110000;none</t>
  </si>
  <si>
    <t>27;128000;219000;none</t>
  </si>
  <si>
    <t>27;178000;326000;none</t>
  </si>
  <si>
    <t>27;165000;263000;none</t>
  </si>
  <si>
    <t>27;110;280;none</t>
  </si>
  <si>
    <t>27;4220;6180;none</t>
  </si>
  <si>
    <t>27;332;2320;none</t>
  </si>
  <si>
    <t>27;960;1670;none</t>
  </si>
  <si>
    <t>27;826;2000;none</t>
  </si>
  <si>
    <t>27;41.4;103;none</t>
  </si>
  <si>
    <t>27;15.5;46.4;none</t>
  </si>
  <si>
    <t>27;14.1;24.4;none</t>
  </si>
  <si>
    <t>27;97.4;172;none</t>
  </si>
  <si>
    <t>27;4.7;7.2;none</t>
  </si>
  <si>
    <t>27;34.2;47.2;none</t>
  </si>
  <si>
    <t>27;19.1;30.4;none</t>
  </si>
  <si>
    <t>27;20.9;25.5;none</t>
  </si>
  <si>
    <t>27;93.2;179;none</t>
  </si>
  <si>
    <t>27;96.4;129;none</t>
  </si>
  <si>
    <t>27;42.1;68.6;none</t>
  </si>
  <si>
    <t>27;37.1;80.3;none</t>
  </si>
  <si>
    <t>27;4.4;5.7;none</t>
  </si>
  <si>
    <t>27;49.2;88.4;none</t>
  </si>
  <si>
    <t>27;27.7;89.7;none</t>
  </si>
  <si>
    <t>27;15.2;27;none</t>
  </si>
  <si>
    <t>27;95.3;145;none</t>
  </si>
  <si>
    <t>27;28.1;118;none</t>
  </si>
  <si>
    <t>27;68.4;342;none</t>
  </si>
  <si>
    <t>27;2.6;5.9;none</t>
  </si>
  <si>
    <t>27;15.8;23.5;none</t>
  </si>
  <si>
    <t>27;5290;6570;none</t>
  </si>
  <si>
    <t>27;128;331;none</t>
  </si>
  <si>
    <t>27;121;252;none</t>
  </si>
  <si>
    <t>27;1660;2690;none</t>
  </si>
  <si>
    <t>27;26700;45500;none</t>
  </si>
  <si>
    <t>27;3090;4860;none</t>
  </si>
  <si>
    <t>27;164;234;none</t>
  </si>
  <si>
    <t>27;314;505;none</t>
  </si>
  <si>
    <t>27;237;385;none</t>
  </si>
  <si>
    <t>27;178;292;none</t>
  </si>
  <si>
    <t>27;516;843;none</t>
  </si>
  <si>
    <t>27;704;1150;none</t>
  </si>
  <si>
    <t>27;69;252;none</t>
  </si>
  <si>
    <t>27;206;331;none</t>
  </si>
  <si>
    <t>27;213;836;none</t>
  </si>
  <si>
    <t>27;3700;5650;none</t>
  </si>
  <si>
    <t>27;7000;11200;none</t>
  </si>
  <si>
    <t>27;9650;16200;none</t>
  </si>
  <si>
    <t>27;10100;15400;none</t>
  </si>
  <si>
    <t>27;291;469;none</t>
  </si>
  <si>
    <t>27;0.6;1.4;none</t>
  </si>
  <si>
    <t>27;5.7;8.9;none</t>
  </si>
  <si>
    <t>27;79.9;191;none</t>
  </si>
  <si>
    <t>27;0.9;2.4;none</t>
  </si>
  <si>
    <t>27;2;14.4;none</t>
  </si>
  <si>
    <t>27;6.3;10.7;none</t>
  </si>
  <si>
    <t>27;0.7;1.2;none</t>
  </si>
  <si>
    <t>27;7.6;8.7;none</t>
  </si>
  <si>
    <t>27;19.4;53;none</t>
  </si>
  <si>
    <t>27;2.2;2.7;none</t>
  </si>
  <si>
    <t>27;0.8;1.3;none</t>
  </si>
  <si>
    <t>27;1.4;1.7;none</t>
  </si>
  <si>
    <t>27;6;11.5;none</t>
  </si>
  <si>
    <t>27;5.9;7.3;none</t>
  </si>
  <si>
    <t>27;2.2;3.5;none</t>
  </si>
  <si>
    <t>27;2.4;4.1;none</t>
  </si>
  <si>
    <t>27;0.3;0.4;none</t>
  </si>
  <si>
    <t>27;2.7;4.8;none</t>
  </si>
  <si>
    <t>27;2.1;4.7;none</t>
  </si>
  <si>
    <t>27;11.9;19.2;none</t>
  </si>
  <si>
    <t>27;0.9;1.3;none</t>
  </si>
  <si>
    <t>27;10.1;15.4;none</t>
  </si>
  <si>
    <t>27;4.5;7.3;none</t>
  </si>
  <si>
    <t>27;1.8;5.1;none</t>
  </si>
  <si>
    <t>27;78.8;155;none</t>
  </si>
  <si>
    <t>27;11;26.8;none</t>
  </si>
  <si>
    <t>27;7.2;23.9;none</t>
  </si>
  <si>
    <t>27;17.1;27.3;none</t>
  </si>
  <si>
    <t>27;0.1;0.3;none</t>
  </si>
  <si>
    <t>27;8.8;14.3;none</t>
  </si>
  <si>
    <t>27;10.1;16.4;none</t>
  </si>
  <si>
    <t>27;14.9;24.7;none</t>
  </si>
  <si>
    <t>27;13.8;22.9;none</t>
  </si>
  <si>
    <t>27;46.1;77.2;none</t>
  </si>
  <si>
    <t>27;37.2;60.7;none</t>
  </si>
  <si>
    <t>27;46.9;76.4;none</t>
  </si>
  <si>
    <t>27;37.8;62;none</t>
  </si>
  <si>
    <t>27;98.1;161;none</t>
  </si>
  <si>
    <t>27;9.6;16.3;none</t>
  </si>
  <si>
    <t>27;7.7;18.6;none</t>
  </si>
  <si>
    <t>27;1.1;1.5;none</t>
  </si>
  <si>
    <t>27;53.7;66.5;none</t>
  </si>
  <si>
    <t>27;62.4;91.8;none</t>
  </si>
  <si>
    <t>27;61.3;140;none</t>
  </si>
  <si>
    <t>element</t>
  </si>
  <si>
    <t>MJ</t>
  </si>
  <si>
    <t>kg</t>
  </si>
  <si>
    <t>Global</t>
  </si>
  <si>
    <t>Ecoinvent 2.2
[4]</t>
  </si>
  <si>
    <t>GWP 100a [kg CO2-eq/ kg]</t>
  </si>
  <si>
    <t>kg CO2 eq.</t>
  </si>
  <si>
    <t>impact_indicator</t>
  </si>
  <si>
    <t>CED</t>
  </si>
  <si>
    <t>GWP100</t>
  </si>
  <si>
    <t>origin_process</t>
  </si>
  <si>
    <t>destination_process</t>
  </si>
  <si>
    <t>natural environment</t>
  </si>
  <si>
    <t>product system of a given commodity</t>
  </si>
  <si>
    <t>ca. 2008</t>
  </si>
  <si>
    <t>These numbers were copied from the SI of Nuss and Eckelman (2014) by Ilham Chekrad and formatted to a stats_array string by Stefan Pauliuk</t>
  </si>
  <si>
    <t>Ilham Chekrad</t>
  </si>
  <si>
    <t>Numbers transferred from original data files (.docx) to iedc data insertion template (xlsx).</t>
  </si>
  <si>
    <t>https://doi.org/10.1371/journal.pone.0101298</t>
  </si>
  <si>
    <t>Philip NUSS</t>
  </si>
  <si>
    <t>docx file with data in table</t>
  </si>
  <si>
    <t>CC BY 4.0</t>
  </si>
  <si>
    <t>Publicly available dataset, static web page</t>
  </si>
  <si>
    <t>global average LCA product systems for producing different metals and other pure chemical elements</t>
  </si>
  <si>
    <t>one aggregate product system for each chemical element</t>
  </si>
  <si>
    <t>Core CED and GWP100 per kg of chemical element results from "Life Cycle Assessment of Metals: A Scientific Synthesis", by Nuss and Eckelman (2014).</t>
  </si>
  <si>
    <t>Misc. physical units</t>
  </si>
  <si>
    <t>64 chemical elements, from He to U</t>
  </si>
  <si>
    <t>by chemical element</t>
  </si>
  <si>
    <t>global</t>
  </si>
  <si>
    <t>global aggregate</t>
  </si>
  <si>
    <t>one representative value for the time range covered by ecoinvent 2.2</t>
  </si>
  <si>
    <t>CED; GWP100; metals; elements</t>
  </si>
  <si>
    <t>Result of academic LCA work</t>
  </si>
  <si>
    <t>2.5th and 97.5th percentiles converted to stats_array_string</t>
  </si>
  <si>
    <t>Value(e,I,o,d,r,t)</t>
  </si>
  <si>
    <t>CED of Fe from natural environment to product system of a given commodity in ca. 2008 for Global was 23,1 MJ/kg with uncertainty 27;20.9;25.5;none.</t>
  </si>
  <si>
    <t>[Aspect 2] of [Aspect 1] from [Aspect 3] to [Aspect 4] for [Aspect 5] for [Aspect 6] is [Value].</t>
  </si>
  <si>
    <t>He</t>
  </si>
  <si>
    <t>Li</t>
  </si>
  <si>
    <t>Be</t>
  </si>
  <si>
    <t>B</t>
  </si>
  <si>
    <t>Mg</t>
  </si>
  <si>
    <t>Al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</si>
  <si>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</si>
  <si>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</si>
  <si>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</si>
  <si>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</si>
  <si>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</si>
  <si>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</si>
  <si>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</si>
  <si>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</si>
  <si>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</si>
  <si>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</si>
  <si>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</si>
  <si>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</si>
  <si>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</si>
  <si>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</si>
  <si>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</si>
  <si>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Sr</t>
  </si>
  <si>
    <t>Y</t>
  </si>
  <si>
    <t>Zr</t>
  </si>
  <si>
    <t>Nb</t>
  </si>
  <si>
    <t>Mo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</si>
  <si>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</si>
  <si>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</si>
  <si>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</si>
  <si>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</si>
  <si>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</si>
  <si>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</si>
  <si>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</si>
  <si>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</si>
  <si>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</si>
  <si>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</si>
  <si>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</si>
  <si>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</si>
  <si>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</si>
  <si>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</si>
  <si>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</si>
  <si>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</si>
  <si>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</si>
  <si>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</si>
  <si>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</si>
  <si>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</si>
  <si>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</si>
  <si>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</si>
  <si>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</si>
  <si>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</si>
  <si>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</si>
  <si>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</si>
  <si>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</si>
  <si>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Os</t>
  </si>
  <si>
    <t>Ir</t>
  </si>
  <si>
    <t>Pt</t>
  </si>
  <si>
    <t>Au</t>
  </si>
  <si>
    <t>Hg</t>
  </si>
  <si>
    <t>Tl</t>
  </si>
  <si>
    <t>Pb</t>
  </si>
  <si>
    <t>Bi</t>
  </si>
  <si>
    <t>Th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</si>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</sst>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0"/>
      <color rgb="FF000000"/>
      <name val="Times New Roman"/>
      <charset val="204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u/>
      <sz val="11"/>
      <color theme="10"/>
      <name val="Arial"/>
      <family val="2"/>
    </font>
    <font>
      <b/>
      <sz val="1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/>
    </xf>
    <xf numFmtId="0" fontId="2" fillId="0" borderId="5" xfId="0" applyFont="1" applyFill="1" applyBorder="1" applyAlignment="1"/>
    <xf numFmtId="0" fontId="3" fillId="0" borderId="6" xfId="0" applyFont="1" applyBorder="1" applyAlignment="1">
      <alignment horizontal="left"/>
    </xf>
    <xf numFmtId="0" fontId="3" fillId="0" borderId="10" xfId="0" applyFont="1" applyFill="1" applyBorder="1" applyAlignment="1"/>
    <xf numFmtId="0" fontId="4" fillId="0" borderId="11" xfId="0" applyFont="1" applyBorder="1" applyAlignment="1">
      <alignment horizontal="left"/>
    </xf>
    <xf numFmtId="0" fontId="2" fillId="4" borderId="9" xfId="0" applyFont="1" applyFill="1" applyBorder="1" applyAlignment="1"/>
    <xf numFmtId="0" fontId="2" fillId="0" borderId="10" xfId="0" applyFont="1" applyFill="1" applyBorder="1" applyAlignment="1"/>
    <xf numFmtId="0" fontId="2" fillId="0" borderId="10" xfId="0" applyFont="1" applyBorder="1" applyAlignment="1"/>
    <xf numFmtId="0" fontId="2" fillId="0" borderId="10" xfId="0" applyFont="1" applyFill="1" applyBorder="1" applyAlignment="1">
      <alignment horizontal="left"/>
    </xf>
    <xf numFmtId="0" fontId="4" fillId="0" borderId="11" xfId="0" applyFont="1" applyFill="1" applyBorder="1" applyAlignment="1">
      <alignment horizontal="left"/>
    </xf>
    <xf numFmtId="0" fontId="3" fillId="0" borderId="10" xfId="0" applyFont="1" applyBorder="1" applyAlignment="1"/>
    <xf numFmtId="164" fontId="4" fillId="0" borderId="11" xfId="0" applyNumberFormat="1" applyFont="1" applyBorder="1" applyAlignment="1">
      <alignment horizontal="left"/>
    </xf>
    <xf numFmtId="0" fontId="6" fillId="0" borderId="10" xfId="0" applyFont="1" applyBorder="1" applyAlignment="1"/>
    <xf numFmtId="0" fontId="6" fillId="0" borderId="12" xfId="0" applyFont="1" applyBorder="1" applyAlignment="1"/>
    <xf numFmtId="0" fontId="3" fillId="0" borderId="0" xfId="0" applyFont="1"/>
    <xf numFmtId="0" fontId="3" fillId="0" borderId="0" xfId="0" quotePrefix="1" applyFont="1"/>
    <xf numFmtId="0" fontId="4" fillId="0" borderId="0" xfId="0" applyFont="1" applyFill="1"/>
    <xf numFmtId="0" fontId="3" fillId="0" borderId="0" xfId="0" applyFont="1" applyAlignment="1"/>
    <xf numFmtId="0" fontId="3" fillId="0" borderId="1" xfId="0" applyFont="1" applyBorder="1" applyAlignment="1"/>
    <xf numFmtId="0" fontId="8" fillId="0" borderId="3" xfId="0" applyFont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3" fillId="0" borderId="8" xfId="0" applyFont="1" applyBorder="1"/>
    <xf numFmtId="0" fontId="3" fillId="0" borderId="6" xfId="0" applyFont="1" applyBorder="1"/>
    <xf numFmtId="0" fontId="3" fillId="0" borderId="10" xfId="0" applyFont="1" applyBorder="1"/>
    <xf numFmtId="0" fontId="3" fillId="0" borderId="0" xfId="0" applyFont="1" applyBorder="1"/>
    <xf numFmtId="0" fontId="3" fillId="0" borderId="11" xfId="0" applyFont="1" applyBorder="1"/>
    <xf numFmtId="0" fontId="8" fillId="5" borderId="10" xfId="0" applyFont="1" applyFill="1" applyBorder="1"/>
    <xf numFmtId="0" fontId="3" fillId="5" borderId="0" xfId="0" quotePrefix="1" applyFont="1" applyFill="1" applyBorder="1"/>
    <xf numFmtId="0" fontId="8" fillId="0" borderId="0" xfId="0" applyFont="1" applyBorder="1"/>
    <xf numFmtId="0" fontId="8" fillId="0" borderId="11" xfId="0" applyFont="1" applyBorder="1"/>
    <xf numFmtId="0" fontId="9" fillId="0" borderId="0" xfId="0" applyFont="1" applyFill="1" applyBorder="1" applyAlignment="1">
      <alignment horizontal="left"/>
    </xf>
    <xf numFmtId="0" fontId="4" fillId="0" borderId="0" xfId="0" applyFont="1" applyBorder="1"/>
    <xf numFmtId="0" fontId="4" fillId="0" borderId="11" xfId="0" applyFont="1" applyBorder="1"/>
    <xf numFmtId="0" fontId="8" fillId="5" borderId="1" xfId="0" applyFont="1" applyFill="1" applyBorder="1"/>
    <xf numFmtId="0" fontId="8" fillId="5" borderId="3" xfId="0" applyFont="1" applyFill="1" applyBorder="1" applyAlignment="1">
      <alignment horizontal="center"/>
    </xf>
    <xf numFmtId="0" fontId="9" fillId="5" borderId="1" xfId="0" applyFont="1" applyFill="1" applyBorder="1"/>
    <xf numFmtId="0" fontId="9" fillId="5" borderId="3" xfId="0" applyFont="1" applyFill="1" applyBorder="1" applyAlignment="1">
      <alignment horizontal="center"/>
    </xf>
    <xf numFmtId="0" fontId="8" fillId="5" borderId="0" xfId="0" applyFont="1" applyFill="1" applyBorder="1"/>
    <xf numFmtId="0" fontId="8" fillId="5" borderId="11" xfId="0" applyFont="1" applyFill="1" applyBorder="1"/>
    <xf numFmtId="0" fontId="3" fillId="5" borderId="10" xfId="0" applyFont="1" applyFill="1" applyBorder="1"/>
    <xf numFmtId="0" fontId="3" fillId="0" borderId="0" xfId="0" quotePrefix="1" applyNumberFormat="1" applyFont="1" applyFill="1" applyAlignment="1">
      <alignment horizontal="left"/>
    </xf>
    <xf numFmtId="0" fontId="3" fillId="5" borderId="0" xfId="0" applyFont="1" applyFill="1" applyBorder="1"/>
    <xf numFmtId="14" fontId="3" fillId="0" borderId="11" xfId="0" quotePrefix="1" applyNumberFormat="1" applyFont="1" applyFill="1" applyBorder="1"/>
    <xf numFmtId="0" fontId="3" fillId="0" borderId="0" xfId="0" applyFont="1" applyFill="1"/>
    <xf numFmtId="0" fontId="3" fillId="0" borderId="10" xfId="0" applyFont="1" applyFill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8" fillId="0" borderId="0" xfId="0" applyFont="1" applyFill="1" applyAlignment="1">
      <alignment horizontal="center"/>
    </xf>
    <xf numFmtId="0" fontId="8" fillId="0" borderId="0" xfId="0" applyFont="1" applyFill="1"/>
    <xf numFmtId="0" fontId="3" fillId="0" borderId="0" xfId="0" quotePrefix="1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14" fontId="3" fillId="0" borderId="0" xfId="0" quotePrefix="1" applyNumberFormat="1" applyFont="1" applyFill="1"/>
    <xf numFmtId="0" fontId="9" fillId="0" borderId="0" xfId="0" applyFont="1" applyFill="1"/>
    <xf numFmtId="0" fontId="4" fillId="0" borderId="0" xfId="0" applyFont="1" applyFill="1" applyAlignment="1">
      <alignment horizontal="center"/>
    </xf>
    <xf numFmtId="14" fontId="3" fillId="0" borderId="0" xfId="0" quotePrefix="1" applyNumberFormat="1" applyFont="1" applyFill="1" applyAlignment="1">
      <alignment horizontal="left"/>
    </xf>
    <xf numFmtId="0" fontId="10" fillId="0" borderId="0" xfId="1" applyFont="1"/>
    <xf numFmtId="0" fontId="9" fillId="0" borderId="0" xfId="0" applyFont="1"/>
    <xf numFmtId="0" fontId="3" fillId="0" borderId="0" xfId="0" applyFont="1" applyAlignment="1">
      <alignment horizontal="left" vertical="top"/>
    </xf>
    <xf numFmtId="0" fontId="3" fillId="2" borderId="0" xfId="0" applyFont="1" applyFill="1"/>
    <xf numFmtId="0" fontId="12" fillId="2" borderId="0" xfId="0" applyFont="1" applyFill="1" applyAlignment="1">
      <alignment horizontal="left"/>
    </xf>
    <xf numFmtId="0" fontId="13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top"/>
    </xf>
    <xf numFmtId="0" fontId="11" fillId="2" borderId="0" xfId="0" applyFont="1" applyFill="1"/>
    <xf numFmtId="0" fontId="1" fillId="2" borderId="0" xfId="0" applyFont="1" applyFill="1"/>
    <xf numFmtId="0" fontId="12" fillId="0" borderId="0" xfId="0" applyFont="1" applyFill="1" applyAlignment="1">
      <alignment horizontal="left" vertical="top"/>
    </xf>
    <xf numFmtId="0" fontId="14" fillId="0" borderId="0" xfId="0" applyFont="1" applyFill="1" applyAlignment="1">
      <alignment horizontal="left" vertical="top"/>
    </xf>
    <xf numFmtId="0" fontId="13" fillId="0" borderId="11" xfId="0" applyFont="1" applyBorder="1" applyAlignment="1">
      <alignment horizontal="left"/>
    </xf>
    <xf numFmtId="0" fontId="13" fillId="0" borderId="11" xfId="0" applyFont="1" applyBorder="1"/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6" borderId="9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 inden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B98A-26A2-492F-98FB-99FD6047F483}">
  <dimension ref="A1:Q72"/>
  <sheetViews>
    <sheetView zoomScale="85" zoomScaleNormal="85" workbookViewId="0">
      <selection activeCell="G20" sqref="G20"/>
    </sheetView>
  </sheetViews>
  <sheetFormatPr baseColWidth="10" defaultColWidth="10.17578125" defaultRowHeight="12.3" x14ac:dyDescent="0.4"/>
  <cols>
    <col min="1" max="1" width="7.9375" style="15" customWidth="1"/>
    <col min="2" max="2" width="17.64453125" style="15" customWidth="1"/>
    <col min="3" max="3" width="25.8203125" style="15" bestFit="1" customWidth="1"/>
    <col min="4" max="4" width="52.29296875" style="15" customWidth="1"/>
    <col min="5" max="5" width="13.05859375" style="15" bestFit="1" customWidth="1"/>
    <col min="6" max="6" width="27.17578125" style="15" bestFit="1" customWidth="1"/>
    <col min="7" max="8" width="29.05859375" style="15" bestFit="1" customWidth="1"/>
    <col min="9" max="9" width="27.703125" style="15" bestFit="1" customWidth="1"/>
    <col min="10" max="11" width="3.703125" style="15" customWidth="1"/>
    <col min="12" max="16384" width="10.17578125" style="15"/>
  </cols>
  <sheetData>
    <row r="1" spans="1:17" ht="13.8" x14ac:dyDescent="0.45">
      <c r="E1" s="16"/>
      <c r="H1" s="17"/>
    </row>
    <row r="2" spans="1:17" ht="15" x14ac:dyDescent="0.5">
      <c r="B2" s="76" t="s">
        <v>74</v>
      </c>
      <c r="C2" s="77"/>
      <c r="D2" s="78"/>
      <c r="E2" s="16"/>
      <c r="F2" s="76" t="s">
        <v>75</v>
      </c>
      <c r="G2" s="77"/>
      <c r="H2" s="77"/>
      <c r="I2" s="78"/>
      <c r="L2" s="16"/>
    </row>
    <row r="3" spans="1:17" ht="14.1" x14ac:dyDescent="0.5">
      <c r="A3" s="18"/>
      <c r="B3" s="19"/>
      <c r="C3" s="1" t="s">
        <v>76</v>
      </c>
      <c r="D3" s="20" t="s">
        <v>77</v>
      </c>
      <c r="E3" s="16"/>
      <c r="L3" s="16"/>
    </row>
    <row r="4" spans="1:17" ht="14.1" x14ac:dyDescent="0.5">
      <c r="A4" s="18">
        <v>1</v>
      </c>
      <c r="B4" s="79" t="s">
        <v>78</v>
      </c>
      <c r="C4" s="2" t="s">
        <v>79</v>
      </c>
      <c r="D4" s="3" t="s">
        <v>80</v>
      </c>
      <c r="E4" s="16" t="s">
        <v>81</v>
      </c>
      <c r="F4" s="21" t="s">
        <v>82</v>
      </c>
      <c r="G4" s="22"/>
      <c r="H4" s="22"/>
      <c r="I4" s="23"/>
      <c r="L4" s="16"/>
    </row>
    <row r="5" spans="1:17" ht="13.8" x14ac:dyDescent="0.45">
      <c r="A5" s="18">
        <v>2</v>
      </c>
      <c r="B5" s="80"/>
      <c r="C5" s="4" t="s">
        <v>83</v>
      </c>
      <c r="D5" s="5" t="s">
        <v>180</v>
      </c>
      <c r="E5" s="16" t="s">
        <v>81</v>
      </c>
      <c r="F5" s="24"/>
      <c r="G5" s="25"/>
      <c r="H5" s="25"/>
      <c r="I5" s="26"/>
      <c r="L5" s="16"/>
    </row>
    <row r="6" spans="1:17" ht="14.1" x14ac:dyDescent="0.5">
      <c r="A6" s="18">
        <v>3</v>
      </c>
      <c r="B6" s="6"/>
      <c r="C6" s="4" t="s">
        <v>84</v>
      </c>
      <c r="D6" s="5" t="s">
        <v>181</v>
      </c>
      <c r="E6" s="16" t="s">
        <v>81</v>
      </c>
      <c r="F6" s="27" t="s">
        <v>85</v>
      </c>
      <c r="G6" s="28" t="s">
        <v>86</v>
      </c>
      <c r="H6" s="29"/>
      <c r="I6" s="30"/>
      <c r="L6" s="16"/>
    </row>
    <row r="7" spans="1:17" ht="14.1" x14ac:dyDescent="0.5">
      <c r="A7" s="18">
        <v>4</v>
      </c>
      <c r="B7" s="81" t="s">
        <v>87</v>
      </c>
      <c r="C7" s="4" t="s">
        <v>88</v>
      </c>
      <c r="D7" s="5" t="s">
        <v>108</v>
      </c>
      <c r="E7" s="16" t="s">
        <v>81</v>
      </c>
      <c r="F7" s="27" t="s">
        <v>89</v>
      </c>
      <c r="G7" s="28" t="s">
        <v>90</v>
      </c>
      <c r="H7" s="31"/>
      <c r="I7" s="10"/>
      <c r="L7" s="16"/>
    </row>
    <row r="8" spans="1:17" ht="14.1" x14ac:dyDescent="0.5">
      <c r="A8" s="18">
        <v>5</v>
      </c>
      <c r="B8" s="81"/>
      <c r="C8" s="4" t="s">
        <v>91</v>
      </c>
      <c r="D8" s="5">
        <v>6</v>
      </c>
      <c r="E8" s="16" t="s">
        <v>81</v>
      </c>
      <c r="F8" s="27" t="s">
        <v>92</v>
      </c>
      <c r="G8" s="28" t="s">
        <v>90</v>
      </c>
      <c r="H8" s="32"/>
      <c r="I8" s="33"/>
      <c r="L8" s="16"/>
    </row>
    <row r="9" spans="1:17" ht="14.1" x14ac:dyDescent="0.5">
      <c r="A9" s="18">
        <v>6</v>
      </c>
      <c r="B9" s="81"/>
      <c r="C9" s="4" t="s">
        <v>93</v>
      </c>
      <c r="D9" s="5" t="s">
        <v>94</v>
      </c>
      <c r="E9" s="16" t="s">
        <v>81</v>
      </c>
      <c r="F9" s="27" t="s">
        <v>95</v>
      </c>
      <c r="G9" s="28" t="s">
        <v>90</v>
      </c>
      <c r="H9" s="32"/>
      <c r="I9" s="33"/>
      <c r="L9" s="16"/>
    </row>
    <row r="10" spans="1:17" ht="14.1" x14ac:dyDescent="0.5">
      <c r="A10" s="18">
        <v>7</v>
      </c>
      <c r="B10" s="81"/>
      <c r="C10" s="4" t="s">
        <v>96</v>
      </c>
      <c r="D10" s="5" t="s">
        <v>346</v>
      </c>
      <c r="E10" s="16" t="s">
        <v>81</v>
      </c>
      <c r="F10" s="34" t="s">
        <v>97</v>
      </c>
      <c r="G10" s="35" t="s">
        <v>90</v>
      </c>
      <c r="H10" s="36" t="s">
        <v>98</v>
      </c>
      <c r="I10" s="37">
        <v>128</v>
      </c>
      <c r="L10" s="16"/>
    </row>
    <row r="11" spans="1:17" ht="14.1" x14ac:dyDescent="0.5">
      <c r="A11" s="18">
        <v>8</v>
      </c>
      <c r="B11" s="82" t="s">
        <v>99</v>
      </c>
      <c r="C11" s="7" t="s">
        <v>100</v>
      </c>
      <c r="D11" s="5" t="s">
        <v>343</v>
      </c>
      <c r="E11" s="16" t="s">
        <v>81</v>
      </c>
      <c r="F11" s="27" t="s">
        <v>101</v>
      </c>
      <c r="G11" s="38" t="s">
        <v>102</v>
      </c>
      <c r="H11" s="38" t="s">
        <v>103</v>
      </c>
      <c r="I11" s="39" t="s">
        <v>104</v>
      </c>
      <c r="L11" s="16"/>
    </row>
    <row r="12" spans="1:17" ht="13.8" x14ac:dyDescent="0.45">
      <c r="A12" s="18">
        <v>9</v>
      </c>
      <c r="B12" s="83"/>
      <c r="C12" s="8" t="s">
        <v>105</v>
      </c>
      <c r="D12" s="5" t="s">
        <v>344</v>
      </c>
      <c r="E12" s="16" t="s">
        <v>81</v>
      </c>
      <c r="F12" s="40" t="s">
        <v>320</v>
      </c>
      <c r="G12" s="41">
        <v>3</v>
      </c>
      <c r="H12" s="42" t="s">
        <v>106</v>
      </c>
      <c r="I12" s="43"/>
      <c r="L12" s="16"/>
    </row>
    <row r="13" spans="1:17" ht="13.8" x14ac:dyDescent="0.45">
      <c r="A13" s="18">
        <v>10</v>
      </c>
      <c r="B13" s="83"/>
      <c r="C13" s="8" t="s">
        <v>107</v>
      </c>
      <c r="D13" s="5" t="s">
        <v>108</v>
      </c>
      <c r="E13" s="16" t="s">
        <v>81</v>
      </c>
      <c r="F13" s="40" t="s">
        <v>327</v>
      </c>
      <c r="G13" s="41">
        <v>1</v>
      </c>
      <c r="H13" s="42" t="s">
        <v>110</v>
      </c>
      <c r="I13" s="43"/>
      <c r="L13" s="16"/>
    </row>
    <row r="14" spans="1:17" ht="13.8" x14ac:dyDescent="0.45">
      <c r="A14" s="18">
        <v>11</v>
      </c>
      <c r="B14" s="83"/>
      <c r="C14" s="8" t="s">
        <v>111</v>
      </c>
      <c r="D14" s="5" t="s">
        <v>108</v>
      </c>
      <c r="E14" s="16" t="s">
        <v>81</v>
      </c>
      <c r="F14" s="40" t="s">
        <v>330</v>
      </c>
      <c r="G14" s="41">
        <v>1</v>
      </c>
      <c r="H14" s="42" t="s">
        <v>112</v>
      </c>
      <c r="I14" s="43"/>
      <c r="L14" s="16"/>
    </row>
    <row r="15" spans="1:17" ht="13.8" x14ac:dyDescent="0.45">
      <c r="A15" s="18">
        <v>12</v>
      </c>
      <c r="B15" s="83"/>
      <c r="C15" s="8" t="s">
        <v>113</v>
      </c>
      <c r="D15" s="5" t="s">
        <v>347</v>
      </c>
      <c r="E15" s="16" t="s">
        <v>81</v>
      </c>
      <c r="F15" s="40" t="s">
        <v>331</v>
      </c>
      <c r="G15" s="41">
        <v>1</v>
      </c>
      <c r="H15" s="42" t="s">
        <v>115</v>
      </c>
      <c r="I15" s="43"/>
      <c r="L15" s="16"/>
      <c r="M15" s="44"/>
      <c r="N15" s="44"/>
      <c r="O15" s="44"/>
      <c r="P15" s="44"/>
      <c r="Q15" s="44"/>
    </row>
    <row r="16" spans="1:17" ht="13.8" x14ac:dyDescent="0.45">
      <c r="A16" s="18">
        <v>13</v>
      </c>
      <c r="B16" s="83"/>
      <c r="C16" s="8" t="s">
        <v>116</v>
      </c>
      <c r="D16" s="5" t="s">
        <v>348</v>
      </c>
      <c r="E16" s="16" t="s">
        <v>81</v>
      </c>
      <c r="F16" s="40" t="s">
        <v>109</v>
      </c>
      <c r="G16" s="46">
        <v>1</v>
      </c>
      <c r="H16" s="42" t="s">
        <v>117</v>
      </c>
      <c r="I16" s="43"/>
      <c r="L16" s="16"/>
      <c r="M16" s="44"/>
      <c r="N16" s="44"/>
      <c r="O16" s="44"/>
      <c r="P16" s="44"/>
      <c r="Q16" s="44"/>
    </row>
    <row r="17" spans="1:17" ht="13.8" x14ac:dyDescent="0.45">
      <c r="A17" s="18">
        <v>14</v>
      </c>
      <c r="B17" s="83"/>
      <c r="C17" s="8" t="s">
        <v>118</v>
      </c>
      <c r="D17" s="5" t="s">
        <v>349</v>
      </c>
      <c r="E17" s="16" t="s">
        <v>81</v>
      </c>
      <c r="F17" s="40" t="s">
        <v>114</v>
      </c>
      <c r="G17" s="46">
        <v>1</v>
      </c>
      <c r="H17" s="25"/>
      <c r="I17" s="26"/>
      <c r="L17" s="16"/>
      <c r="M17" s="44"/>
      <c r="N17" s="44"/>
      <c r="O17" s="44"/>
      <c r="P17" s="44"/>
      <c r="Q17" s="44"/>
    </row>
    <row r="18" spans="1:17" ht="13.8" x14ac:dyDescent="0.45">
      <c r="A18" s="18">
        <v>15</v>
      </c>
      <c r="B18" s="83"/>
      <c r="C18" s="8" t="s">
        <v>119</v>
      </c>
      <c r="D18" s="5" t="s">
        <v>350</v>
      </c>
      <c r="E18" s="16" t="s">
        <v>81</v>
      </c>
      <c r="F18" s="45"/>
      <c r="G18" s="47"/>
      <c r="H18" s="25"/>
      <c r="I18" s="26"/>
      <c r="L18" s="16"/>
      <c r="M18" s="44"/>
      <c r="N18" s="44"/>
      <c r="O18" s="44"/>
      <c r="P18" s="44"/>
      <c r="Q18" s="44"/>
    </row>
    <row r="19" spans="1:17" ht="13.8" x14ac:dyDescent="0.45">
      <c r="A19" s="18">
        <v>16</v>
      </c>
      <c r="B19" s="83"/>
      <c r="C19" s="8" t="s">
        <v>120</v>
      </c>
      <c r="D19" s="5" t="s">
        <v>334</v>
      </c>
      <c r="E19" s="16" t="s">
        <v>81</v>
      </c>
      <c r="F19" s="45"/>
      <c r="G19" s="47"/>
      <c r="H19" s="25"/>
      <c r="I19" s="26"/>
      <c r="L19" s="16"/>
      <c r="M19" s="44"/>
      <c r="N19" s="44"/>
      <c r="O19" s="44"/>
      <c r="P19" s="44"/>
      <c r="Q19" s="44"/>
    </row>
    <row r="20" spans="1:17" ht="13.8" x14ac:dyDescent="0.45">
      <c r="A20" s="18">
        <v>17</v>
      </c>
      <c r="B20" s="83"/>
      <c r="C20" s="8" t="s">
        <v>121</v>
      </c>
      <c r="D20" s="5" t="s">
        <v>351</v>
      </c>
      <c r="E20" s="16" t="s">
        <v>81</v>
      </c>
      <c r="F20" s="24"/>
      <c r="G20" s="25"/>
      <c r="H20" s="25"/>
      <c r="I20" s="26"/>
      <c r="L20" s="16"/>
      <c r="M20" s="44"/>
      <c r="N20" s="44"/>
      <c r="O20" s="44"/>
      <c r="P20" s="44"/>
      <c r="Q20" s="44"/>
    </row>
    <row r="21" spans="1:17" ht="13.8" x14ac:dyDescent="0.45">
      <c r="A21" s="18">
        <v>18</v>
      </c>
      <c r="B21" s="84" t="s">
        <v>122</v>
      </c>
      <c r="C21" s="8" t="s">
        <v>123</v>
      </c>
      <c r="D21" s="5" t="s">
        <v>345</v>
      </c>
      <c r="E21" s="16" t="s">
        <v>81</v>
      </c>
      <c r="F21" s="48"/>
      <c r="G21" s="49"/>
      <c r="H21" s="49"/>
      <c r="I21" s="50"/>
      <c r="L21" s="16"/>
      <c r="M21" s="44"/>
      <c r="N21" s="44"/>
      <c r="O21" s="44"/>
      <c r="P21" s="44"/>
      <c r="Q21" s="44"/>
    </row>
    <row r="22" spans="1:17" ht="13.8" x14ac:dyDescent="0.45">
      <c r="A22" s="18">
        <v>19</v>
      </c>
      <c r="B22" s="84"/>
      <c r="C22" s="8" t="s">
        <v>124</v>
      </c>
      <c r="D22" s="5" t="s">
        <v>352</v>
      </c>
      <c r="E22" s="16" t="s">
        <v>81</v>
      </c>
      <c r="L22" s="16"/>
      <c r="M22" s="44"/>
      <c r="N22" s="44"/>
      <c r="O22" s="44"/>
      <c r="P22" s="44"/>
      <c r="Q22" s="44"/>
    </row>
    <row r="23" spans="1:17" ht="14.1" x14ac:dyDescent="0.5">
      <c r="A23" s="18">
        <v>20</v>
      </c>
      <c r="B23" s="84"/>
      <c r="C23" s="7" t="s">
        <v>125</v>
      </c>
      <c r="D23" s="75" t="s">
        <v>353</v>
      </c>
      <c r="E23" s="16" t="s">
        <v>81</v>
      </c>
      <c r="F23" s="44"/>
      <c r="G23" s="44"/>
      <c r="H23" s="44"/>
      <c r="I23" s="44"/>
      <c r="L23" s="16"/>
      <c r="M23" s="44"/>
      <c r="N23" s="51"/>
      <c r="O23" s="44"/>
      <c r="P23" s="44"/>
      <c r="Q23" s="44"/>
    </row>
    <row r="24" spans="1:17" ht="14.1" x14ac:dyDescent="0.5">
      <c r="A24" s="18">
        <v>21</v>
      </c>
      <c r="B24" s="84"/>
      <c r="C24" s="7" t="s">
        <v>126</v>
      </c>
      <c r="D24" s="74">
        <v>128</v>
      </c>
      <c r="E24" s="16" t="s">
        <v>81</v>
      </c>
      <c r="F24" s="44"/>
      <c r="G24" s="44"/>
      <c r="H24" s="17"/>
      <c r="I24" s="44"/>
      <c r="L24" s="16"/>
      <c r="M24" s="44"/>
      <c r="N24" s="52"/>
      <c r="O24" s="53"/>
      <c r="P24" s="44"/>
      <c r="Q24" s="44"/>
    </row>
    <row r="25" spans="1:17" ht="14.1" x14ac:dyDescent="0.5">
      <c r="A25" s="18">
        <v>22</v>
      </c>
      <c r="B25" s="84"/>
      <c r="C25" s="8" t="s">
        <v>117</v>
      </c>
      <c r="D25" s="5" t="s">
        <v>354</v>
      </c>
      <c r="E25" s="16" t="s">
        <v>81</v>
      </c>
      <c r="F25" s="44"/>
      <c r="G25" s="54"/>
      <c r="H25" s="44"/>
      <c r="I25" s="44"/>
      <c r="L25" s="16"/>
      <c r="M25" s="44"/>
      <c r="N25" s="52"/>
      <c r="O25" s="44"/>
      <c r="P25" s="44"/>
      <c r="Q25" s="44"/>
    </row>
    <row r="26" spans="1:17" ht="14.1" x14ac:dyDescent="0.5">
      <c r="A26" s="18">
        <v>23</v>
      </c>
      <c r="B26" s="85" t="s">
        <v>127</v>
      </c>
      <c r="C26" s="9" t="s">
        <v>128</v>
      </c>
      <c r="D26" s="10" t="s">
        <v>320</v>
      </c>
      <c r="E26" s="16" t="s">
        <v>81</v>
      </c>
      <c r="F26" s="44"/>
      <c r="G26" s="52"/>
      <c r="H26" s="53"/>
      <c r="I26" s="44"/>
      <c r="L26" s="16"/>
      <c r="M26" s="44"/>
      <c r="N26" s="52"/>
      <c r="O26" s="44"/>
      <c r="P26" s="44"/>
      <c r="Q26" s="44"/>
    </row>
    <row r="27" spans="1:17" ht="14.1" x14ac:dyDescent="0.5">
      <c r="A27" s="18">
        <v>24</v>
      </c>
      <c r="B27" s="85"/>
      <c r="C27" s="9" t="s">
        <v>129</v>
      </c>
      <c r="D27" s="10">
        <v>1</v>
      </c>
      <c r="E27" s="16" t="s">
        <v>81</v>
      </c>
      <c r="F27" s="44"/>
      <c r="G27" s="52"/>
      <c r="H27" s="44"/>
      <c r="I27" s="44"/>
      <c r="J27" s="44"/>
      <c r="K27" s="44"/>
      <c r="L27" s="53"/>
      <c r="M27" s="44"/>
      <c r="N27" s="52"/>
      <c r="O27" s="53"/>
      <c r="P27" s="44"/>
      <c r="Q27" s="44"/>
    </row>
    <row r="28" spans="1:17" ht="14.1" x14ac:dyDescent="0.5">
      <c r="A28" s="18">
        <v>25</v>
      </c>
      <c r="B28" s="85"/>
      <c r="C28" s="9" t="s">
        <v>130</v>
      </c>
      <c r="D28" s="10" t="s">
        <v>327</v>
      </c>
      <c r="E28" s="16" t="s">
        <v>81</v>
      </c>
      <c r="F28" s="44"/>
      <c r="G28" s="52"/>
      <c r="H28" s="44"/>
      <c r="I28" s="44"/>
      <c r="J28" s="44"/>
      <c r="K28" s="44"/>
      <c r="L28" s="53"/>
      <c r="M28" s="44"/>
      <c r="N28" s="52"/>
      <c r="O28" s="53"/>
      <c r="P28" s="44"/>
      <c r="Q28" s="44"/>
    </row>
    <row r="29" spans="1:17" ht="14.1" x14ac:dyDescent="0.5">
      <c r="A29" s="18">
        <v>26</v>
      </c>
      <c r="B29" s="85"/>
      <c r="C29" s="9" t="s">
        <v>131</v>
      </c>
      <c r="D29" s="10">
        <v>79</v>
      </c>
      <c r="E29" s="16" t="s">
        <v>81</v>
      </c>
      <c r="F29" s="55"/>
      <c r="G29" s="52"/>
      <c r="H29" s="53"/>
      <c r="I29" s="44"/>
      <c r="J29" s="44"/>
      <c r="K29" s="44"/>
      <c r="L29" s="44"/>
      <c r="M29" s="44"/>
      <c r="N29" s="52"/>
      <c r="O29" s="53"/>
      <c r="P29" s="44"/>
      <c r="Q29" s="44"/>
    </row>
    <row r="30" spans="1:17" ht="14.1" x14ac:dyDescent="0.5">
      <c r="A30" s="18">
        <v>27</v>
      </c>
      <c r="B30" s="85"/>
      <c r="C30" s="9" t="s">
        <v>132</v>
      </c>
      <c r="D30" s="10" t="s">
        <v>330</v>
      </c>
      <c r="E30" s="16" t="s">
        <v>81</v>
      </c>
      <c r="F30" s="44"/>
      <c r="G30" s="52"/>
      <c r="H30" s="53"/>
      <c r="I30" s="44"/>
      <c r="J30" s="44"/>
      <c r="K30" s="44"/>
      <c r="L30" s="44"/>
      <c r="M30" s="44"/>
      <c r="N30" s="52"/>
      <c r="O30" s="44"/>
      <c r="P30" s="44"/>
      <c r="Q30" s="44"/>
    </row>
    <row r="31" spans="1:17" ht="14.1" x14ac:dyDescent="0.5">
      <c r="A31" s="18">
        <v>28</v>
      </c>
      <c r="B31" s="85"/>
      <c r="C31" s="9" t="s">
        <v>133</v>
      </c>
      <c r="D31" s="10">
        <v>6</v>
      </c>
      <c r="E31" s="16" t="s">
        <v>81</v>
      </c>
      <c r="F31" s="44"/>
      <c r="G31" s="52"/>
      <c r="H31" s="53"/>
      <c r="I31" s="44"/>
      <c r="J31" s="44"/>
      <c r="K31" s="44"/>
      <c r="L31" s="44"/>
      <c r="M31" s="44"/>
      <c r="N31" s="52"/>
      <c r="O31" s="44"/>
      <c r="P31" s="44"/>
      <c r="Q31" s="44"/>
    </row>
    <row r="32" spans="1:17" ht="14.1" x14ac:dyDescent="0.5">
      <c r="A32" s="18">
        <v>29</v>
      </c>
      <c r="B32" s="85"/>
      <c r="C32" s="9" t="s">
        <v>134</v>
      </c>
      <c r="D32" s="10" t="s">
        <v>331</v>
      </c>
      <c r="E32" s="16" t="s">
        <v>81</v>
      </c>
      <c r="G32" s="52"/>
      <c r="H32" s="44"/>
      <c r="I32" s="44"/>
      <c r="J32" s="44"/>
      <c r="K32" s="44"/>
      <c r="L32" s="44"/>
      <c r="M32" s="44"/>
      <c r="N32" s="52"/>
      <c r="O32" s="44"/>
      <c r="P32" s="44"/>
      <c r="Q32" s="44"/>
    </row>
    <row r="33" spans="1:17" ht="14.1" x14ac:dyDescent="0.5">
      <c r="A33" s="18">
        <v>30</v>
      </c>
      <c r="B33" s="85"/>
      <c r="C33" s="9" t="s">
        <v>135</v>
      </c>
      <c r="D33" s="10">
        <v>6</v>
      </c>
      <c r="E33" s="16" t="s">
        <v>81</v>
      </c>
      <c r="F33" s="44"/>
      <c r="G33" s="52"/>
      <c r="H33" s="44"/>
      <c r="I33" s="44"/>
      <c r="J33" s="44"/>
      <c r="K33" s="44"/>
      <c r="L33" s="44"/>
      <c r="M33" s="44"/>
      <c r="N33" s="52"/>
      <c r="O33" s="56"/>
      <c r="P33" s="44"/>
      <c r="Q33" s="44"/>
    </row>
    <row r="34" spans="1:17" ht="14.1" x14ac:dyDescent="0.5">
      <c r="A34" s="18">
        <v>31</v>
      </c>
      <c r="B34" s="85"/>
      <c r="C34" s="9" t="s">
        <v>136</v>
      </c>
      <c r="D34" s="10" t="s">
        <v>109</v>
      </c>
      <c r="E34" s="16" t="s">
        <v>81</v>
      </c>
      <c r="F34" s="44"/>
      <c r="G34" s="52"/>
      <c r="H34" s="44"/>
      <c r="I34" s="44"/>
      <c r="J34" s="44"/>
      <c r="K34" s="44"/>
      <c r="L34" s="44"/>
      <c r="M34" s="44"/>
      <c r="N34" s="52"/>
      <c r="O34" s="56"/>
      <c r="P34" s="44"/>
      <c r="Q34" s="44"/>
    </row>
    <row r="35" spans="1:17" ht="14.1" x14ac:dyDescent="0.5">
      <c r="A35" s="18">
        <v>32</v>
      </c>
      <c r="B35" s="85"/>
      <c r="C35" s="9" t="s">
        <v>137</v>
      </c>
      <c r="D35" s="10">
        <v>2</v>
      </c>
      <c r="E35" s="16" t="s">
        <v>81</v>
      </c>
      <c r="F35" s="44"/>
      <c r="G35" s="52"/>
      <c r="H35" s="56"/>
      <c r="I35" s="44"/>
      <c r="J35" s="44"/>
      <c r="K35" s="44"/>
      <c r="L35" s="44"/>
      <c r="M35" s="44"/>
      <c r="N35" s="52"/>
      <c r="O35" s="44"/>
      <c r="P35" s="44"/>
      <c r="Q35" s="44"/>
    </row>
    <row r="36" spans="1:17" ht="14.1" x14ac:dyDescent="0.5">
      <c r="A36" s="18">
        <v>33</v>
      </c>
      <c r="B36" s="85"/>
      <c r="C36" s="9" t="s">
        <v>138</v>
      </c>
      <c r="D36" s="10" t="s">
        <v>114</v>
      </c>
      <c r="E36" s="16" t="s">
        <v>81</v>
      </c>
      <c r="F36" s="44"/>
      <c r="G36" s="52"/>
      <c r="H36" s="56"/>
      <c r="I36" s="44"/>
      <c r="J36" s="44"/>
      <c r="K36" s="44"/>
      <c r="L36" s="44"/>
      <c r="M36" s="44"/>
      <c r="N36" s="52"/>
      <c r="O36" s="53"/>
      <c r="P36" s="44"/>
      <c r="Q36" s="44"/>
    </row>
    <row r="37" spans="1:17" ht="14.1" x14ac:dyDescent="0.5">
      <c r="A37" s="18">
        <v>34</v>
      </c>
      <c r="B37" s="85"/>
      <c r="C37" s="9" t="s">
        <v>139</v>
      </c>
      <c r="D37" s="10">
        <v>9</v>
      </c>
      <c r="E37" s="16" t="s">
        <v>81</v>
      </c>
      <c r="F37" s="44"/>
      <c r="G37" s="52"/>
      <c r="H37" s="44"/>
      <c r="I37" s="44"/>
      <c r="M37" s="44"/>
      <c r="N37" s="52"/>
      <c r="O37" s="44"/>
      <c r="P37" s="44"/>
      <c r="Q37" s="44"/>
    </row>
    <row r="38" spans="1:17" ht="14.1" x14ac:dyDescent="0.5">
      <c r="A38" s="18">
        <v>35</v>
      </c>
      <c r="B38" s="85"/>
      <c r="C38" s="9" t="s">
        <v>140</v>
      </c>
      <c r="D38" s="10" t="s">
        <v>108</v>
      </c>
      <c r="E38" s="16" t="s">
        <v>81</v>
      </c>
      <c r="F38" s="44"/>
      <c r="G38" s="52"/>
      <c r="H38" s="53"/>
      <c r="I38" s="44"/>
      <c r="M38" s="44"/>
      <c r="N38" s="52"/>
      <c r="O38" s="44"/>
      <c r="P38" s="44"/>
      <c r="Q38" s="44"/>
    </row>
    <row r="39" spans="1:17" ht="14.1" x14ac:dyDescent="0.5">
      <c r="A39" s="18">
        <v>36</v>
      </c>
      <c r="B39" s="85"/>
      <c r="C39" s="9" t="s">
        <v>141</v>
      </c>
      <c r="D39" s="10" t="s">
        <v>108</v>
      </c>
      <c r="E39" s="16" t="s">
        <v>81</v>
      </c>
      <c r="F39" s="44"/>
      <c r="G39" s="52"/>
      <c r="H39" s="44"/>
      <c r="I39" s="44"/>
      <c r="M39" s="44"/>
      <c r="N39" s="52"/>
      <c r="O39" s="44"/>
      <c r="P39" s="44"/>
      <c r="Q39" s="44"/>
    </row>
    <row r="40" spans="1:17" ht="14.1" x14ac:dyDescent="0.5">
      <c r="A40" s="18">
        <v>37</v>
      </c>
      <c r="B40" s="85"/>
      <c r="C40" s="9" t="s">
        <v>142</v>
      </c>
      <c r="D40" s="10" t="s">
        <v>108</v>
      </c>
      <c r="E40" s="16" t="s">
        <v>81</v>
      </c>
      <c r="F40" s="44"/>
      <c r="G40" s="52"/>
      <c r="H40" s="44"/>
      <c r="I40" s="44"/>
      <c r="M40" s="44"/>
      <c r="N40" s="52"/>
      <c r="O40" s="44"/>
      <c r="P40" s="44"/>
      <c r="Q40" s="44"/>
    </row>
    <row r="41" spans="1:17" ht="14.1" x14ac:dyDescent="0.5">
      <c r="A41" s="18">
        <v>38</v>
      </c>
      <c r="B41" s="85"/>
      <c r="C41" s="9" t="s">
        <v>143</v>
      </c>
      <c r="D41" s="10" t="s">
        <v>108</v>
      </c>
      <c r="E41" s="16" t="s">
        <v>81</v>
      </c>
      <c r="F41" s="44"/>
      <c r="G41" s="52"/>
      <c r="H41" s="44"/>
      <c r="I41" s="44"/>
      <c r="M41" s="44"/>
      <c r="N41" s="52"/>
      <c r="O41" s="44"/>
      <c r="P41" s="44"/>
      <c r="Q41" s="44"/>
    </row>
    <row r="42" spans="1:17" ht="14.1" x14ac:dyDescent="0.5">
      <c r="A42" s="18">
        <v>39</v>
      </c>
      <c r="B42" s="85"/>
      <c r="C42" s="9" t="s">
        <v>144</v>
      </c>
      <c r="D42" s="10" t="s">
        <v>108</v>
      </c>
      <c r="E42" s="16" t="s">
        <v>81</v>
      </c>
      <c r="F42" s="44"/>
      <c r="G42" s="52"/>
      <c r="H42" s="44"/>
      <c r="I42" s="44"/>
      <c r="M42" s="44"/>
      <c r="N42" s="52"/>
      <c r="O42" s="44"/>
      <c r="P42" s="44"/>
      <c r="Q42" s="44"/>
    </row>
    <row r="43" spans="1:17" ht="14.1" x14ac:dyDescent="0.5">
      <c r="A43" s="18">
        <v>40</v>
      </c>
      <c r="B43" s="85"/>
      <c r="C43" s="9" t="s">
        <v>145</v>
      </c>
      <c r="D43" s="10" t="s">
        <v>108</v>
      </c>
      <c r="E43" s="16" t="s">
        <v>81</v>
      </c>
      <c r="F43" s="44"/>
      <c r="G43" s="52"/>
      <c r="H43" s="44"/>
      <c r="I43" s="44"/>
      <c r="M43" s="44"/>
      <c r="N43" s="52"/>
      <c r="O43" s="51"/>
      <c r="P43" s="57"/>
      <c r="Q43" s="58"/>
    </row>
    <row r="44" spans="1:17" ht="14.1" x14ac:dyDescent="0.5">
      <c r="A44" s="18">
        <v>41</v>
      </c>
      <c r="B44" s="85"/>
      <c r="C44" s="9" t="s">
        <v>146</v>
      </c>
      <c r="D44" s="10" t="s">
        <v>108</v>
      </c>
      <c r="E44" s="16" t="s">
        <v>81</v>
      </c>
      <c r="F44" s="44"/>
      <c r="G44" s="52"/>
      <c r="H44" s="44"/>
      <c r="I44" s="44"/>
      <c r="M44" s="44"/>
      <c r="N44" s="52"/>
      <c r="O44" s="52"/>
      <c r="P44" s="52"/>
      <c r="Q44" s="52"/>
    </row>
    <row r="45" spans="1:17" ht="14.1" x14ac:dyDescent="0.5">
      <c r="A45" s="18">
        <v>42</v>
      </c>
      <c r="B45" s="85"/>
      <c r="C45" s="9" t="s">
        <v>147</v>
      </c>
      <c r="D45" s="10" t="s">
        <v>108</v>
      </c>
      <c r="E45" s="16" t="s">
        <v>81</v>
      </c>
      <c r="F45" s="44"/>
      <c r="G45" s="52"/>
      <c r="H45" s="51"/>
      <c r="I45" s="57"/>
      <c r="M45" s="44"/>
      <c r="N45" s="44"/>
      <c r="O45" s="41"/>
      <c r="P45" s="44"/>
      <c r="Q45" s="56"/>
    </row>
    <row r="46" spans="1:17" ht="14.1" x14ac:dyDescent="0.5">
      <c r="A46" s="18">
        <v>43</v>
      </c>
      <c r="B46" s="85"/>
      <c r="C46" s="9" t="s">
        <v>148</v>
      </c>
      <c r="D46" s="10" t="s">
        <v>108</v>
      </c>
      <c r="E46" s="16" t="s">
        <v>81</v>
      </c>
      <c r="F46" s="44"/>
      <c r="G46" s="52"/>
      <c r="H46" s="52"/>
      <c r="I46" s="52"/>
      <c r="M46" s="44"/>
      <c r="N46" s="44"/>
      <c r="O46" s="41"/>
      <c r="P46" s="44"/>
      <c r="Q46" s="56"/>
    </row>
    <row r="47" spans="1:17" ht="13.8" x14ac:dyDescent="0.45">
      <c r="A47" s="18">
        <v>44</v>
      </c>
      <c r="B47" s="85"/>
      <c r="C47" s="9" t="s">
        <v>149</v>
      </c>
      <c r="D47" s="10" t="s">
        <v>108</v>
      </c>
      <c r="E47" s="16" t="s">
        <v>81</v>
      </c>
      <c r="F47" s="44"/>
      <c r="G47" s="44"/>
      <c r="H47" s="59"/>
      <c r="I47" s="44"/>
      <c r="M47" s="44"/>
      <c r="N47" s="17"/>
      <c r="O47" s="41"/>
      <c r="P47" s="44"/>
      <c r="Q47" s="56"/>
    </row>
    <row r="48" spans="1:17" ht="13.8" x14ac:dyDescent="0.45">
      <c r="A48" s="18">
        <v>45</v>
      </c>
      <c r="B48" s="85"/>
      <c r="C48" s="9" t="s">
        <v>150</v>
      </c>
      <c r="D48" s="10" t="s">
        <v>108</v>
      </c>
      <c r="E48" s="16" t="s">
        <v>81</v>
      </c>
      <c r="F48" s="44"/>
      <c r="G48" s="44"/>
      <c r="H48" s="41"/>
      <c r="I48" s="44"/>
      <c r="M48" s="44"/>
      <c r="N48" s="17"/>
      <c r="O48" s="41"/>
      <c r="P48" s="44"/>
      <c r="Q48" s="56"/>
    </row>
    <row r="49" spans="1:17" ht="13.8" x14ac:dyDescent="0.45">
      <c r="A49" s="18">
        <v>46</v>
      </c>
      <c r="B49" s="85"/>
      <c r="C49" s="9" t="s">
        <v>151</v>
      </c>
      <c r="D49" s="10" t="s">
        <v>108</v>
      </c>
      <c r="E49" s="16" t="s">
        <v>81</v>
      </c>
      <c r="F49" s="44"/>
      <c r="G49" s="17"/>
      <c r="H49" s="41"/>
      <c r="I49" s="44"/>
      <c r="M49" s="44"/>
      <c r="N49" s="44"/>
      <c r="O49" s="44"/>
      <c r="P49" s="44"/>
      <c r="Q49" s="56"/>
    </row>
    <row r="50" spans="1:17" ht="13.8" x14ac:dyDescent="0.45">
      <c r="A50" s="18">
        <v>47</v>
      </c>
      <c r="B50" s="85"/>
      <c r="C50" s="7" t="s">
        <v>152</v>
      </c>
      <c r="D50" s="5" t="s">
        <v>355</v>
      </c>
      <c r="E50" s="16" t="s">
        <v>81</v>
      </c>
      <c r="F50" s="44"/>
      <c r="G50" s="44"/>
      <c r="H50" s="55"/>
      <c r="I50" s="44"/>
      <c r="M50" s="44"/>
      <c r="N50" s="44"/>
      <c r="O50" s="44"/>
      <c r="P50" s="44"/>
      <c r="Q50" s="44"/>
    </row>
    <row r="51" spans="1:17" ht="13.8" x14ac:dyDescent="0.45">
      <c r="A51" s="18">
        <v>48</v>
      </c>
      <c r="B51" s="85"/>
      <c r="C51" s="7" t="s">
        <v>153</v>
      </c>
      <c r="D51" s="5" t="s">
        <v>356</v>
      </c>
      <c r="E51" s="16" t="s">
        <v>81</v>
      </c>
      <c r="F51" s="44"/>
      <c r="G51" s="44"/>
      <c r="H51" s="55"/>
      <c r="I51" s="44"/>
      <c r="M51" s="44"/>
      <c r="N51" s="44"/>
      <c r="O51" s="44"/>
      <c r="P51" s="44"/>
      <c r="Q51" s="44"/>
    </row>
    <row r="52" spans="1:17" ht="13.8" x14ac:dyDescent="0.45">
      <c r="A52" s="18">
        <v>49</v>
      </c>
      <c r="B52" s="85"/>
      <c r="C52" s="7" t="s">
        <v>154</v>
      </c>
      <c r="D52" s="5" t="s">
        <v>357</v>
      </c>
      <c r="E52" s="16" t="s">
        <v>81</v>
      </c>
      <c r="F52" s="44"/>
      <c r="G52" s="44"/>
      <c r="H52" s="55"/>
      <c r="I52" s="44"/>
    </row>
    <row r="53" spans="1:17" ht="13.8" x14ac:dyDescent="0.45">
      <c r="A53" s="18">
        <v>50</v>
      </c>
      <c r="B53" s="86" t="s">
        <v>155</v>
      </c>
      <c r="C53" s="4" t="s">
        <v>156</v>
      </c>
      <c r="D53" s="74" t="s">
        <v>342</v>
      </c>
      <c r="E53" s="16" t="s">
        <v>81</v>
      </c>
      <c r="F53" s="44"/>
      <c r="G53" s="44"/>
      <c r="H53" s="44"/>
      <c r="I53" s="44"/>
    </row>
    <row r="54" spans="1:17" ht="13.8" x14ac:dyDescent="0.45">
      <c r="A54" s="18">
        <v>51</v>
      </c>
      <c r="B54" s="86"/>
      <c r="C54" s="4" t="s">
        <v>157</v>
      </c>
      <c r="D54" s="5" t="s">
        <v>341</v>
      </c>
      <c r="E54" s="16" t="s">
        <v>81</v>
      </c>
      <c r="G54" s="44"/>
      <c r="H54" s="44"/>
      <c r="I54" s="44"/>
    </row>
    <row r="55" spans="1:17" ht="13.8" x14ac:dyDescent="0.45">
      <c r="A55" s="18">
        <v>52</v>
      </c>
      <c r="B55" s="86"/>
      <c r="C55" s="11" t="s">
        <v>158</v>
      </c>
      <c r="D55" s="5" t="s">
        <v>339</v>
      </c>
      <c r="E55" s="16" t="s">
        <v>81</v>
      </c>
      <c r="G55" s="44"/>
      <c r="H55" s="44"/>
      <c r="I55" s="44"/>
    </row>
    <row r="56" spans="1:17" ht="13.8" x14ac:dyDescent="0.45">
      <c r="A56" s="18">
        <v>53</v>
      </c>
      <c r="B56" s="86"/>
      <c r="C56" s="11" t="s">
        <v>159</v>
      </c>
      <c r="D56" s="75" t="s">
        <v>338</v>
      </c>
      <c r="E56" s="16" t="s">
        <v>81</v>
      </c>
      <c r="G56" s="60"/>
    </row>
    <row r="57" spans="1:17" ht="13.8" x14ac:dyDescent="0.45">
      <c r="A57" s="18">
        <v>54</v>
      </c>
      <c r="B57" s="86"/>
      <c r="C57" s="8" t="s">
        <v>160</v>
      </c>
      <c r="D57" s="5" t="s">
        <v>340</v>
      </c>
      <c r="E57" s="16" t="s">
        <v>81</v>
      </c>
    </row>
    <row r="58" spans="1:17" ht="13.8" x14ac:dyDescent="0.45">
      <c r="A58" s="18">
        <v>55</v>
      </c>
      <c r="B58" s="86"/>
      <c r="C58" s="11" t="s">
        <v>161</v>
      </c>
      <c r="D58" s="75" t="s">
        <v>338</v>
      </c>
      <c r="E58" s="16" t="s">
        <v>81</v>
      </c>
    </row>
    <row r="59" spans="1:17" ht="13.8" x14ac:dyDescent="0.45">
      <c r="A59" s="18">
        <v>56</v>
      </c>
      <c r="B59" s="86"/>
      <c r="C59" s="11" t="s">
        <v>162</v>
      </c>
      <c r="D59" s="75" t="s">
        <v>338</v>
      </c>
      <c r="E59" s="16" t="s">
        <v>81</v>
      </c>
    </row>
    <row r="60" spans="1:17" ht="13.8" x14ac:dyDescent="0.45">
      <c r="A60" s="18">
        <v>57</v>
      </c>
      <c r="B60" s="86"/>
      <c r="C60" s="4" t="s">
        <v>163</v>
      </c>
      <c r="D60" s="74">
        <v>1</v>
      </c>
      <c r="E60" s="16" t="s">
        <v>81</v>
      </c>
    </row>
    <row r="61" spans="1:17" ht="13.8" x14ac:dyDescent="0.45">
      <c r="A61" s="18">
        <v>58</v>
      </c>
      <c r="B61" s="87" t="s">
        <v>164</v>
      </c>
      <c r="C61" s="11" t="s">
        <v>165</v>
      </c>
      <c r="D61" s="12">
        <v>45616</v>
      </c>
      <c r="E61" s="16" t="s">
        <v>81</v>
      </c>
    </row>
    <row r="62" spans="1:17" ht="13.8" x14ac:dyDescent="0.45">
      <c r="A62" s="18">
        <v>59</v>
      </c>
      <c r="B62" s="87"/>
      <c r="C62" s="11" t="s">
        <v>166</v>
      </c>
      <c r="D62" s="12">
        <v>45631</v>
      </c>
      <c r="E62" s="16" t="s">
        <v>81</v>
      </c>
    </row>
    <row r="63" spans="1:17" ht="13.8" x14ac:dyDescent="0.45">
      <c r="A63" s="18">
        <v>60</v>
      </c>
      <c r="B63" s="87"/>
      <c r="C63" s="11" t="s">
        <v>167</v>
      </c>
      <c r="D63" s="5" t="s">
        <v>336</v>
      </c>
      <c r="E63" s="16" t="s">
        <v>81</v>
      </c>
    </row>
    <row r="64" spans="1:17" ht="13.8" x14ac:dyDescent="0.45">
      <c r="A64" s="18">
        <v>61</v>
      </c>
      <c r="B64" s="87"/>
      <c r="C64" s="11" t="s">
        <v>169</v>
      </c>
      <c r="D64" s="5" t="s">
        <v>337</v>
      </c>
      <c r="E64" s="16" t="s">
        <v>81</v>
      </c>
    </row>
    <row r="65" spans="1:5" ht="13.8" x14ac:dyDescent="0.45">
      <c r="A65" s="18">
        <v>62</v>
      </c>
      <c r="B65" s="87"/>
      <c r="C65" s="4" t="s">
        <v>170</v>
      </c>
      <c r="D65" s="12">
        <v>45631</v>
      </c>
      <c r="E65" s="16" t="s">
        <v>81</v>
      </c>
    </row>
    <row r="66" spans="1:5" ht="13.8" x14ac:dyDescent="0.45">
      <c r="A66" s="18">
        <v>63</v>
      </c>
      <c r="B66" s="87"/>
      <c r="C66" s="4" t="s">
        <v>171</v>
      </c>
      <c r="D66" s="75" t="s">
        <v>168</v>
      </c>
      <c r="E66" s="16" t="s">
        <v>81</v>
      </c>
    </row>
    <row r="67" spans="1:5" x14ac:dyDescent="0.4">
      <c r="A67" s="18">
        <v>64</v>
      </c>
      <c r="B67" s="87"/>
      <c r="C67" s="11" t="s">
        <v>172</v>
      </c>
      <c r="D67" s="26"/>
      <c r="E67" s="16" t="s">
        <v>81</v>
      </c>
    </row>
    <row r="68" spans="1:5" x14ac:dyDescent="0.4">
      <c r="A68" s="18">
        <v>65</v>
      </c>
      <c r="B68" s="88" t="s">
        <v>173</v>
      </c>
      <c r="C68" s="13" t="s">
        <v>174</v>
      </c>
      <c r="D68" s="26"/>
      <c r="E68" s="16" t="s">
        <v>81</v>
      </c>
    </row>
    <row r="69" spans="1:5" x14ac:dyDescent="0.4">
      <c r="A69" s="18">
        <v>66</v>
      </c>
      <c r="B69" s="88"/>
      <c r="C69" s="13" t="s">
        <v>175</v>
      </c>
      <c r="D69" s="26"/>
      <c r="E69" s="16" t="s">
        <v>81</v>
      </c>
    </row>
    <row r="70" spans="1:5" x14ac:dyDescent="0.4">
      <c r="A70" s="18">
        <v>67</v>
      </c>
      <c r="B70" s="88"/>
      <c r="C70" s="13" t="s">
        <v>176</v>
      </c>
      <c r="D70" s="26"/>
      <c r="E70" s="16" t="s">
        <v>81</v>
      </c>
    </row>
    <row r="71" spans="1:5" x14ac:dyDescent="0.4">
      <c r="A71" s="18">
        <v>68</v>
      </c>
      <c r="B71" s="88"/>
      <c r="C71" s="13" t="s">
        <v>177</v>
      </c>
      <c r="D71" s="26"/>
      <c r="E71" s="16" t="s">
        <v>81</v>
      </c>
    </row>
    <row r="72" spans="1:5" x14ac:dyDescent="0.4">
      <c r="A72" s="18">
        <v>69</v>
      </c>
      <c r="B72" s="89"/>
      <c r="C72" s="14" t="s">
        <v>178</v>
      </c>
      <c r="D72" s="50"/>
      <c r="E72" s="16" t="s">
        <v>81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CC12-0264-49CF-A4FB-46BC939D0440}">
  <dimension ref="A1:M129"/>
  <sheetViews>
    <sheetView tabSelected="1" workbookViewId="0">
      <selection sqref="A1:A1048576"/>
    </sheetView>
  </sheetViews>
  <sheetFormatPr baseColWidth="10" defaultRowHeight="12.6" x14ac:dyDescent="0.45"/>
  <cols>
    <col min="3" max="3" width="25.46875" bestFit="1" customWidth="1"/>
    <col min="4" max="4" width="27.05859375" bestFit="1" customWidth="1"/>
    <col min="8" max="8" width="16.234375" bestFit="1" customWidth="1"/>
    <col min="9" max="9" width="18.8203125" bestFit="1" customWidth="1"/>
    <col min="10" max="10" width="19.234375" bestFit="1" customWidth="1"/>
    <col min="11" max="11" width="23.76171875" bestFit="1" customWidth="1"/>
  </cols>
  <sheetData>
    <row r="1" spans="1:13" ht="14.1" x14ac:dyDescent="0.5">
      <c r="A1" s="61" t="s">
        <v>320</v>
      </c>
      <c r="B1" s="61" t="s">
        <v>327</v>
      </c>
      <c r="C1" s="61" t="s">
        <v>330</v>
      </c>
      <c r="D1" s="61" t="s">
        <v>331</v>
      </c>
      <c r="E1" s="61" t="s">
        <v>109</v>
      </c>
      <c r="F1" s="61" t="s">
        <v>114</v>
      </c>
      <c r="G1" s="61" t="s">
        <v>106</v>
      </c>
      <c r="H1" s="61" t="s">
        <v>110</v>
      </c>
      <c r="I1" s="61" t="s">
        <v>112</v>
      </c>
      <c r="J1" s="61" t="s">
        <v>179</v>
      </c>
      <c r="K1" s="61" t="s">
        <v>117</v>
      </c>
      <c r="L1" s="15"/>
      <c r="M1" s="15"/>
    </row>
    <row r="2" spans="1:13" x14ac:dyDescent="0.4">
      <c r="A2" s="15" t="s">
        <v>358</v>
      </c>
      <c r="B2" s="15" t="s">
        <v>328</v>
      </c>
      <c r="C2" s="15" t="s">
        <v>332</v>
      </c>
      <c r="D2" s="15" t="s">
        <v>333</v>
      </c>
      <c r="E2" s="15" t="s">
        <v>323</v>
      </c>
      <c r="F2" s="15" t="s">
        <v>334</v>
      </c>
      <c r="G2" s="68">
        <v>67.5</v>
      </c>
      <c r="H2" s="15" t="s">
        <v>321</v>
      </c>
      <c r="I2" s="15" t="s">
        <v>322</v>
      </c>
      <c r="J2" s="15" t="s">
        <v>235</v>
      </c>
      <c r="K2" s="15" t="s">
        <v>324</v>
      </c>
      <c r="L2" s="15"/>
      <c r="M2" s="15"/>
    </row>
    <row r="3" spans="1:13" x14ac:dyDescent="0.4">
      <c r="A3" s="15" t="s">
        <v>359</v>
      </c>
      <c r="B3" s="15" t="s">
        <v>328</v>
      </c>
      <c r="C3" s="15" t="s">
        <v>332</v>
      </c>
      <c r="D3" s="15" t="s">
        <v>333</v>
      </c>
      <c r="E3" s="15" t="s">
        <v>323</v>
      </c>
      <c r="F3" s="15" t="s">
        <v>334</v>
      </c>
      <c r="G3" s="68">
        <v>125</v>
      </c>
      <c r="H3" s="15" t="s">
        <v>321</v>
      </c>
      <c r="I3" s="15" t="s">
        <v>322</v>
      </c>
      <c r="J3" s="15" t="s">
        <v>192</v>
      </c>
      <c r="K3" s="15" t="s">
        <v>324</v>
      </c>
      <c r="L3" s="15"/>
      <c r="M3" s="15"/>
    </row>
    <row r="4" spans="1:13" x14ac:dyDescent="0.4">
      <c r="A4" s="15" t="s">
        <v>360</v>
      </c>
      <c r="B4" s="15" t="s">
        <v>328</v>
      </c>
      <c r="C4" s="15" t="s">
        <v>332</v>
      </c>
      <c r="D4" s="15" t="s">
        <v>333</v>
      </c>
      <c r="E4" s="15" t="s">
        <v>323</v>
      </c>
      <c r="F4" s="15" t="s">
        <v>334</v>
      </c>
      <c r="G4" s="68">
        <v>1720</v>
      </c>
      <c r="H4" s="15" t="s">
        <v>321</v>
      </c>
      <c r="I4" s="15" t="s">
        <v>322</v>
      </c>
      <c r="J4" s="15" t="s">
        <v>193</v>
      </c>
      <c r="K4" s="15" t="s">
        <v>7</v>
      </c>
      <c r="L4" s="15"/>
      <c r="M4" s="15"/>
    </row>
    <row r="5" spans="1:13" x14ac:dyDescent="0.4">
      <c r="A5" s="15" t="s">
        <v>361</v>
      </c>
      <c r="B5" s="15" t="s">
        <v>328</v>
      </c>
      <c r="C5" s="15" t="s">
        <v>332</v>
      </c>
      <c r="D5" s="15" t="s">
        <v>333</v>
      </c>
      <c r="E5" s="15" t="s">
        <v>323</v>
      </c>
      <c r="F5" s="15" t="s">
        <v>334</v>
      </c>
      <c r="G5" s="68">
        <v>27.3</v>
      </c>
      <c r="H5" s="15" t="s">
        <v>321</v>
      </c>
      <c r="I5" s="15" t="s">
        <v>322</v>
      </c>
      <c r="J5" s="15" t="s">
        <v>236</v>
      </c>
      <c r="K5" s="15" t="s">
        <v>324</v>
      </c>
      <c r="L5" s="15"/>
      <c r="M5" s="15"/>
    </row>
    <row r="6" spans="1:13" x14ac:dyDescent="0.4">
      <c r="A6" s="15" t="s">
        <v>362</v>
      </c>
      <c r="B6" s="15" t="s">
        <v>328</v>
      </c>
      <c r="C6" s="15" t="s">
        <v>332</v>
      </c>
      <c r="D6" s="15" t="s">
        <v>333</v>
      </c>
      <c r="E6" s="15" t="s">
        <v>323</v>
      </c>
      <c r="F6" s="15" t="s">
        <v>334</v>
      </c>
      <c r="G6" s="68">
        <v>18.8</v>
      </c>
      <c r="H6" s="15" t="s">
        <v>321</v>
      </c>
      <c r="I6" s="15" t="s">
        <v>322</v>
      </c>
      <c r="J6" s="15" t="s">
        <v>237</v>
      </c>
      <c r="K6" s="15" t="s">
        <v>324</v>
      </c>
      <c r="L6" s="15"/>
      <c r="M6" s="15"/>
    </row>
    <row r="7" spans="1:13" x14ac:dyDescent="0.4">
      <c r="A7" s="15" t="s">
        <v>363</v>
      </c>
      <c r="B7" s="15" t="s">
        <v>328</v>
      </c>
      <c r="C7" s="15" t="s">
        <v>332</v>
      </c>
      <c r="D7" s="15" t="s">
        <v>333</v>
      </c>
      <c r="E7" s="15" t="s">
        <v>323</v>
      </c>
      <c r="F7" s="15" t="s">
        <v>334</v>
      </c>
      <c r="G7" s="68">
        <v>131</v>
      </c>
      <c r="H7" s="15" t="s">
        <v>321</v>
      </c>
      <c r="I7" s="15" t="s">
        <v>322</v>
      </c>
      <c r="J7" s="15" t="s">
        <v>238</v>
      </c>
      <c r="K7" s="15" t="s">
        <v>324</v>
      </c>
      <c r="L7" s="15"/>
      <c r="M7" s="15"/>
    </row>
    <row r="8" spans="1:13" x14ac:dyDescent="0.4">
      <c r="A8" s="15" t="s">
        <v>364</v>
      </c>
      <c r="B8" s="15" t="s">
        <v>328</v>
      </c>
      <c r="C8" s="15" t="s">
        <v>332</v>
      </c>
      <c r="D8" s="15" t="s">
        <v>333</v>
      </c>
      <c r="E8" s="15" t="s">
        <v>323</v>
      </c>
      <c r="F8" s="15" t="s">
        <v>334</v>
      </c>
      <c r="G8" s="68">
        <v>5.8</v>
      </c>
      <c r="H8" s="15" t="s">
        <v>321</v>
      </c>
      <c r="I8" s="15" t="s">
        <v>322</v>
      </c>
      <c r="J8" s="15" t="s">
        <v>239</v>
      </c>
      <c r="K8" s="15" t="s">
        <v>7</v>
      </c>
      <c r="L8" s="15"/>
      <c r="M8" s="15"/>
    </row>
    <row r="9" spans="1:13" x14ac:dyDescent="0.4">
      <c r="A9" s="15" t="s">
        <v>365</v>
      </c>
      <c r="B9" s="15" t="s">
        <v>328</v>
      </c>
      <c r="C9" s="15" t="s">
        <v>332</v>
      </c>
      <c r="D9" s="15" t="s">
        <v>333</v>
      </c>
      <c r="E9" s="15" t="s">
        <v>323</v>
      </c>
      <c r="F9" s="15" t="s">
        <v>334</v>
      </c>
      <c r="G9" s="68">
        <v>97200</v>
      </c>
      <c r="H9" s="15" t="s">
        <v>321</v>
      </c>
      <c r="I9" s="15" t="s">
        <v>322</v>
      </c>
      <c r="J9" s="15" t="s">
        <v>194</v>
      </c>
      <c r="K9" s="15" t="s">
        <v>7</v>
      </c>
      <c r="L9" s="15"/>
      <c r="M9" s="15"/>
    </row>
    <row r="10" spans="1:13" x14ac:dyDescent="0.4">
      <c r="A10" s="62" t="s">
        <v>366</v>
      </c>
      <c r="B10" s="15" t="s">
        <v>328</v>
      </c>
      <c r="C10" s="15" t="s">
        <v>332</v>
      </c>
      <c r="D10" s="15" t="s">
        <v>333</v>
      </c>
      <c r="E10" s="15" t="s">
        <v>323</v>
      </c>
      <c r="F10" s="15" t="s">
        <v>334</v>
      </c>
      <c r="G10" s="69">
        <v>115</v>
      </c>
      <c r="H10" s="15" t="s">
        <v>321</v>
      </c>
      <c r="I10" s="15" t="s">
        <v>322</v>
      </c>
      <c r="J10" s="62" t="s">
        <v>195</v>
      </c>
      <c r="K10" s="62" t="s">
        <v>8</v>
      </c>
    </row>
    <row r="11" spans="1:13" x14ac:dyDescent="0.4">
      <c r="A11" s="62" t="s">
        <v>367</v>
      </c>
      <c r="B11" s="15" t="s">
        <v>328</v>
      </c>
      <c r="C11" s="15" t="s">
        <v>332</v>
      </c>
      <c r="D11" s="15" t="s">
        <v>333</v>
      </c>
      <c r="E11" s="15" t="s">
        <v>323</v>
      </c>
      <c r="F11" s="15" t="s">
        <v>334</v>
      </c>
      <c r="G11" s="69">
        <v>516</v>
      </c>
      <c r="H11" s="15" t="s">
        <v>321</v>
      </c>
      <c r="I11" s="15" t="s">
        <v>322</v>
      </c>
      <c r="J11" s="62" t="s">
        <v>196</v>
      </c>
      <c r="K11" s="62" t="s">
        <v>8</v>
      </c>
    </row>
    <row r="12" spans="1:13" x14ac:dyDescent="0.4">
      <c r="A12" s="62" t="s">
        <v>368</v>
      </c>
      <c r="B12" s="15" t="s">
        <v>328</v>
      </c>
      <c r="C12" s="15" t="s">
        <v>332</v>
      </c>
      <c r="D12" s="15" t="s">
        <v>333</v>
      </c>
      <c r="E12" s="15" t="s">
        <v>323</v>
      </c>
      <c r="F12" s="15" t="s">
        <v>334</v>
      </c>
      <c r="G12" s="69">
        <v>40.200000000000003</v>
      </c>
      <c r="H12" s="15" t="s">
        <v>321</v>
      </c>
      <c r="I12" s="15" t="s">
        <v>322</v>
      </c>
      <c r="J12" s="62" t="s">
        <v>240</v>
      </c>
      <c r="K12" s="62" t="s">
        <v>69</v>
      </c>
    </row>
    <row r="13" spans="1:13" x14ac:dyDescent="0.4">
      <c r="A13" s="62" t="s">
        <v>369</v>
      </c>
      <c r="B13" s="15" t="s">
        <v>328</v>
      </c>
      <c r="C13" s="15" t="s">
        <v>332</v>
      </c>
      <c r="D13" s="15" t="s">
        <v>333</v>
      </c>
      <c r="E13" s="15" t="s">
        <v>323</v>
      </c>
      <c r="F13" s="15" t="s">
        <v>334</v>
      </c>
      <c r="G13" s="69">
        <v>23.7</v>
      </c>
      <c r="H13" s="15" t="s">
        <v>321</v>
      </c>
      <c r="I13" s="15" t="s">
        <v>322</v>
      </c>
      <c r="J13" s="62" t="s">
        <v>241</v>
      </c>
      <c r="K13" s="62" t="s">
        <v>324</v>
      </c>
    </row>
    <row r="14" spans="1:13" x14ac:dyDescent="0.4">
      <c r="A14" s="62" t="s">
        <v>370</v>
      </c>
      <c r="B14" s="15" t="s">
        <v>328</v>
      </c>
      <c r="C14" s="15" t="s">
        <v>332</v>
      </c>
      <c r="D14" s="15" t="s">
        <v>333</v>
      </c>
      <c r="E14" s="15" t="s">
        <v>323</v>
      </c>
      <c r="F14" s="15" t="s">
        <v>334</v>
      </c>
      <c r="G14" s="69">
        <v>23.1</v>
      </c>
      <c r="H14" s="15" t="s">
        <v>321</v>
      </c>
      <c r="I14" s="15" t="s">
        <v>322</v>
      </c>
      <c r="J14" s="62" t="s">
        <v>242</v>
      </c>
      <c r="K14" s="62" t="s">
        <v>324</v>
      </c>
    </row>
    <row r="15" spans="1:13" x14ac:dyDescent="0.4">
      <c r="A15" s="62" t="s">
        <v>371</v>
      </c>
      <c r="B15" s="15" t="s">
        <v>328</v>
      </c>
      <c r="C15" s="15" t="s">
        <v>332</v>
      </c>
      <c r="D15" s="15" t="s">
        <v>333</v>
      </c>
      <c r="E15" s="15" t="s">
        <v>323</v>
      </c>
      <c r="F15" s="15" t="s">
        <v>334</v>
      </c>
      <c r="G15" s="69">
        <v>128</v>
      </c>
      <c r="H15" s="15" t="s">
        <v>321</v>
      </c>
      <c r="I15" s="15" t="s">
        <v>322</v>
      </c>
      <c r="J15" s="62" t="s">
        <v>243</v>
      </c>
      <c r="K15" s="62" t="s">
        <v>324</v>
      </c>
    </row>
    <row r="16" spans="1:13" x14ac:dyDescent="0.4">
      <c r="A16" s="62" t="s">
        <v>372</v>
      </c>
      <c r="B16" s="15" t="s">
        <v>328</v>
      </c>
      <c r="C16" s="15" t="s">
        <v>332</v>
      </c>
      <c r="D16" s="15" t="s">
        <v>333</v>
      </c>
      <c r="E16" s="15" t="s">
        <v>323</v>
      </c>
      <c r="F16" s="15" t="s">
        <v>334</v>
      </c>
      <c r="G16" s="69">
        <v>111</v>
      </c>
      <c r="H16" s="15" t="s">
        <v>321</v>
      </c>
      <c r="I16" s="15" t="s">
        <v>322</v>
      </c>
      <c r="J16" s="62" t="s">
        <v>244</v>
      </c>
      <c r="K16" s="62" t="s">
        <v>324</v>
      </c>
    </row>
    <row r="17" spans="1:11" x14ac:dyDescent="0.4">
      <c r="A17" s="62" t="s">
        <v>373</v>
      </c>
      <c r="B17" s="15" t="s">
        <v>328</v>
      </c>
      <c r="C17" s="15" t="s">
        <v>332</v>
      </c>
      <c r="D17" s="15" t="s">
        <v>333</v>
      </c>
      <c r="E17" s="15" t="s">
        <v>323</v>
      </c>
      <c r="F17" s="15" t="s">
        <v>334</v>
      </c>
      <c r="G17" s="69">
        <v>53.7</v>
      </c>
      <c r="H17" s="15" t="s">
        <v>321</v>
      </c>
      <c r="I17" s="15" t="s">
        <v>322</v>
      </c>
      <c r="J17" s="62" t="s">
        <v>245</v>
      </c>
      <c r="K17" s="62" t="s">
        <v>324</v>
      </c>
    </row>
    <row r="18" spans="1:11" x14ac:dyDescent="0.4">
      <c r="A18" s="62" t="s">
        <v>374</v>
      </c>
      <c r="B18" s="15" t="s">
        <v>328</v>
      </c>
      <c r="C18" s="15" t="s">
        <v>332</v>
      </c>
      <c r="D18" s="15" t="s">
        <v>333</v>
      </c>
      <c r="E18" s="15" t="s">
        <v>323</v>
      </c>
      <c r="F18" s="15" t="s">
        <v>334</v>
      </c>
      <c r="G18" s="69">
        <v>52.9</v>
      </c>
      <c r="H18" s="15" t="s">
        <v>321</v>
      </c>
      <c r="I18" s="15" t="s">
        <v>322</v>
      </c>
      <c r="J18" s="62" t="s">
        <v>246</v>
      </c>
      <c r="K18" s="62" t="s">
        <v>324</v>
      </c>
    </row>
    <row r="19" spans="1:11" x14ac:dyDescent="0.4">
      <c r="A19" s="62" t="s">
        <v>375</v>
      </c>
      <c r="B19" s="15" t="s">
        <v>328</v>
      </c>
      <c r="C19" s="15" t="s">
        <v>332</v>
      </c>
      <c r="D19" s="15" t="s">
        <v>333</v>
      </c>
      <c r="E19" s="15" t="s">
        <v>323</v>
      </c>
      <c r="F19" s="15" t="s">
        <v>334</v>
      </c>
      <c r="G19" s="69">
        <v>3030</v>
      </c>
      <c r="H19" s="15" t="s">
        <v>321</v>
      </c>
      <c r="I19" s="15" t="s">
        <v>322</v>
      </c>
      <c r="J19" s="62" t="s">
        <v>197</v>
      </c>
      <c r="K19" s="62" t="s">
        <v>324</v>
      </c>
    </row>
    <row r="20" spans="1:11" x14ac:dyDescent="0.4">
      <c r="A20" s="62" t="s">
        <v>376</v>
      </c>
      <c r="B20" s="15" t="s">
        <v>328</v>
      </c>
      <c r="C20" s="15" t="s">
        <v>332</v>
      </c>
      <c r="D20" s="15" t="s">
        <v>333</v>
      </c>
      <c r="E20" s="15" t="s">
        <v>323</v>
      </c>
      <c r="F20" s="15" t="s">
        <v>334</v>
      </c>
      <c r="G20" s="69">
        <v>2890</v>
      </c>
      <c r="H20" s="15" t="s">
        <v>321</v>
      </c>
      <c r="I20" s="15" t="s">
        <v>322</v>
      </c>
      <c r="J20" s="62" t="s">
        <v>198</v>
      </c>
      <c r="K20" s="62" t="s">
        <v>324</v>
      </c>
    </row>
    <row r="21" spans="1:11" x14ac:dyDescent="0.4">
      <c r="A21" s="62" t="s">
        <v>377</v>
      </c>
      <c r="B21" s="15" t="s">
        <v>328</v>
      </c>
      <c r="C21" s="15" t="s">
        <v>332</v>
      </c>
      <c r="D21" s="15" t="s">
        <v>333</v>
      </c>
      <c r="E21" s="15" t="s">
        <v>323</v>
      </c>
      <c r="F21" s="15" t="s">
        <v>334</v>
      </c>
      <c r="G21" s="69">
        <v>5</v>
      </c>
      <c r="H21" s="15" t="s">
        <v>321</v>
      </c>
      <c r="I21" s="15" t="s">
        <v>322</v>
      </c>
      <c r="J21" s="62" t="s">
        <v>247</v>
      </c>
      <c r="K21" s="62" t="s">
        <v>324</v>
      </c>
    </row>
    <row r="22" spans="1:11" x14ac:dyDescent="0.4">
      <c r="A22" s="62" t="s">
        <v>378</v>
      </c>
      <c r="B22" s="15" t="s">
        <v>328</v>
      </c>
      <c r="C22" s="15" t="s">
        <v>332</v>
      </c>
      <c r="D22" s="15" t="s">
        <v>333</v>
      </c>
      <c r="E22" s="15" t="s">
        <v>323</v>
      </c>
      <c r="F22" s="15" t="s">
        <v>334</v>
      </c>
      <c r="G22" s="69">
        <v>65.5</v>
      </c>
      <c r="H22" s="15" t="s">
        <v>321</v>
      </c>
      <c r="I22" s="15" t="s">
        <v>322</v>
      </c>
      <c r="J22" s="62" t="s">
        <v>248</v>
      </c>
      <c r="K22" s="62" t="s">
        <v>324</v>
      </c>
    </row>
    <row r="23" spans="1:11" x14ac:dyDescent="0.4">
      <c r="A23" s="62" t="s">
        <v>379</v>
      </c>
      <c r="B23" s="15" t="s">
        <v>328</v>
      </c>
      <c r="C23" s="15" t="s">
        <v>332</v>
      </c>
      <c r="D23" s="15" t="s">
        <v>333</v>
      </c>
      <c r="E23" s="15" t="s">
        <v>323</v>
      </c>
      <c r="F23" s="15" t="s">
        <v>334</v>
      </c>
      <c r="G23" s="69">
        <v>48.8</v>
      </c>
      <c r="H23" s="15" t="s">
        <v>321</v>
      </c>
      <c r="I23" s="15" t="s">
        <v>322</v>
      </c>
      <c r="J23" s="62" t="s">
        <v>249</v>
      </c>
      <c r="K23" s="62" t="s">
        <v>7</v>
      </c>
    </row>
    <row r="24" spans="1:11" x14ac:dyDescent="0.4">
      <c r="A24" s="62" t="s">
        <v>380</v>
      </c>
      <c r="B24" s="15" t="s">
        <v>328</v>
      </c>
      <c r="C24" s="15" t="s">
        <v>332</v>
      </c>
      <c r="D24" s="15" t="s">
        <v>333</v>
      </c>
      <c r="E24" s="15" t="s">
        <v>323</v>
      </c>
      <c r="F24" s="15" t="s">
        <v>334</v>
      </c>
      <c r="G24" s="69">
        <v>295</v>
      </c>
      <c r="H24" s="15" t="s">
        <v>321</v>
      </c>
      <c r="I24" s="15" t="s">
        <v>322</v>
      </c>
      <c r="J24" s="62" t="s">
        <v>199</v>
      </c>
      <c r="K24" s="62" t="s">
        <v>7</v>
      </c>
    </row>
    <row r="25" spans="1:11" x14ac:dyDescent="0.4">
      <c r="A25" s="62" t="s">
        <v>381</v>
      </c>
      <c r="B25" s="15" t="s">
        <v>328</v>
      </c>
      <c r="C25" s="15" t="s">
        <v>332</v>
      </c>
      <c r="D25" s="15" t="s">
        <v>333</v>
      </c>
      <c r="E25" s="15" t="s">
        <v>323</v>
      </c>
      <c r="F25" s="15" t="s">
        <v>334</v>
      </c>
      <c r="G25" s="69">
        <v>19.899999999999999</v>
      </c>
      <c r="H25" s="15" t="s">
        <v>321</v>
      </c>
      <c r="I25" s="15" t="s">
        <v>322</v>
      </c>
      <c r="J25" s="62" t="s">
        <v>250</v>
      </c>
      <c r="K25" s="62" t="s">
        <v>324</v>
      </c>
    </row>
    <row r="26" spans="1:11" x14ac:dyDescent="0.4">
      <c r="A26" s="62" t="s">
        <v>382</v>
      </c>
      <c r="B26" s="15" t="s">
        <v>328</v>
      </c>
      <c r="C26" s="15" t="s">
        <v>332</v>
      </c>
      <c r="D26" s="15" t="s">
        <v>333</v>
      </c>
      <c r="E26" s="15" t="s">
        <v>323</v>
      </c>
      <c r="F26" s="15" t="s">
        <v>334</v>
      </c>
      <c r="G26" s="69">
        <v>172</v>
      </c>
      <c r="H26" s="15" t="s">
        <v>321</v>
      </c>
      <c r="I26" s="15" t="s">
        <v>322</v>
      </c>
      <c r="J26" s="62" t="s">
        <v>200</v>
      </c>
      <c r="K26" s="62" t="s">
        <v>7</v>
      </c>
    </row>
    <row r="27" spans="1:11" x14ac:dyDescent="0.4">
      <c r="A27" s="62" t="s">
        <v>383</v>
      </c>
      <c r="B27" s="15" t="s">
        <v>328</v>
      </c>
      <c r="C27" s="15" t="s">
        <v>332</v>
      </c>
      <c r="D27" s="15" t="s">
        <v>333</v>
      </c>
      <c r="E27" s="15" t="s">
        <v>323</v>
      </c>
      <c r="F27" s="15" t="s">
        <v>334</v>
      </c>
      <c r="G27" s="69">
        <v>117</v>
      </c>
      <c r="H27" s="15" t="s">
        <v>321</v>
      </c>
      <c r="I27" s="15" t="s">
        <v>322</v>
      </c>
      <c r="J27" s="62" t="s">
        <v>251</v>
      </c>
      <c r="K27" s="62" t="s">
        <v>324</v>
      </c>
    </row>
    <row r="28" spans="1:11" x14ac:dyDescent="0.4">
      <c r="A28" s="62" t="s">
        <v>384</v>
      </c>
      <c r="B28" s="15" t="s">
        <v>328</v>
      </c>
      <c r="C28" s="15" t="s">
        <v>332</v>
      </c>
      <c r="D28" s="15" t="s">
        <v>333</v>
      </c>
      <c r="E28" s="15" t="s">
        <v>323</v>
      </c>
      <c r="F28" s="15" t="s">
        <v>334</v>
      </c>
      <c r="G28" s="69">
        <v>41100</v>
      </c>
      <c r="H28" s="15" t="s">
        <v>321</v>
      </c>
      <c r="I28" s="15" t="s">
        <v>322</v>
      </c>
      <c r="J28" s="62" t="s">
        <v>201</v>
      </c>
      <c r="K28" s="62" t="s">
        <v>7</v>
      </c>
    </row>
    <row r="29" spans="1:11" x14ac:dyDescent="0.4">
      <c r="A29" s="62" t="s">
        <v>385</v>
      </c>
      <c r="B29" s="15" t="s">
        <v>328</v>
      </c>
      <c r="C29" s="15" t="s">
        <v>332</v>
      </c>
      <c r="D29" s="15" t="s">
        <v>333</v>
      </c>
      <c r="E29" s="15" t="s">
        <v>323</v>
      </c>
      <c r="F29" s="15" t="s">
        <v>334</v>
      </c>
      <c r="G29" s="69">
        <v>683000</v>
      </c>
      <c r="H29" s="15" t="s">
        <v>321</v>
      </c>
      <c r="I29" s="15" t="s">
        <v>322</v>
      </c>
      <c r="J29" s="62" t="s">
        <v>202</v>
      </c>
      <c r="K29" s="62" t="s">
        <v>324</v>
      </c>
    </row>
    <row r="30" spans="1:11" x14ac:dyDescent="0.4">
      <c r="A30" s="62" t="s">
        <v>386</v>
      </c>
      <c r="B30" s="15" t="s">
        <v>328</v>
      </c>
      <c r="C30" s="15" t="s">
        <v>332</v>
      </c>
      <c r="D30" s="15" t="s">
        <v>333</v>
      </c>
      <c r="E30" s="15" t="s">
        <v>323</v>
      </c>
      <c r="F30" s="15" t="s">
        <v>334</v>
      </c>
      <c r="G30" s="69">
        <v>72700</v>
      </c>
      <c r="H30" s="15" t="s">
        <v>321</v>
      </c>
      <c r="I30" s="15" t="s">
        <v>322</v>
      </c>
      <c r="J30" s="62" t="s">
        <v>203</v>
      </c>
      <c r="K30" s="62" t="s">
        <v>324</v>
      </c>
    </row>
    <row r="31" spans="1:11" x14ac:dyDescent="0.4">
      <c r="A31" s="62" t="s">
        <v>387</v>
      </c>
      <c r="B31" s="15" t="s">
        <v>328</v>
      </c>
      <c r="C31" s="15" t="s">
        <v>332</v>
      </c>
      <c r="D31" s="15" t="s">
        <v>333</v>
      </c>
      <c r="E31" s="15" t="s">
        <v>323</v>
      </c>
      <c r="F31" s="15" t="s">
        <v>334</v>
      </c>
      <c r="G31" s="69">
        <v>3280</v>
      </c>
      <c r="H31" s="15" t="s">
        <v>321</v>
      </c>
      <c r="I31" s="15" t="s">
        <v>322</v>
      </c>
      <c r="J31" s="62" t="s">
        <v>204</v>
      </c>
      <c r="K31" s="62" t="s">
        <v>324</v>
      </c>
    </row>
    <row r="32" spans="1:11" x14ac:dyDescent="0.4">
      <c r="A32" s="62" t="s">
        <v>388</v>
      </c>
      <c r="B32" s="15" t="s">
        <v>328</v>
      </c>
      <c r="C32" s="15" t="s">
        <v>332</v>
      </c>
      <c r="D32" s="15" t="s">
        <v>333</v>
      </c>
      <c r="E32" s="15" t="s">
        <v>323</v>
      </c>
      <c r="F32" s="15" t="s">
        <v>334</v>
      </c>
      <c r="G32" s="69">
        <v>53</v>
      </c>
      <c r="H32" s="15" t="s">
        <v>321</v>
      </c>
      <c r="I32" s="15" t="s">
        <v>322</v>
      </c>
      <c r="J32" s="62" t="s">
        <v>252</v>
      </c>
      <c r="K32" s="62" t="s">
        <v>324</v>
      </c>
    </row>
    <row r="33" spans="1:11" x14ac:dyDescent="0.4">
      <c r="A33" s="62" t="s">
        <v>389</v>
      </c>
      <c r="B33" s="15" t="s">
        <v>328</v>
      </c>
      <c r="C33" s="15" t="s">
        <v>332</v>
      </c>
      <c r="D33" s="15" t="s">
        <v>333</v>
      </c>
      <c r="E33" s="15" t="s">
        <v>323</v>
      </c>
      <c r="F33" s="15" t="s">
        <v>334</v>
      </c>
      <c r="G33" s="69">
        <v>1720</v>
      </c>
      <c r="H33" s="15" t="s">
        <v>321</v>
      </c>
      <c r="I33" s="15" t="s">
        <v>322</v>
      </c>
      <c r="J33" s="62" t="s">
        <v>205</v>
      </c>
      <c r="K33" s="62" t="s">
        <v>324</v>
      </c>
    </row>
    <row r="34" spans="1:11" x14ac:dyDescent="0.4">
      <c r="A34" s="62" t="s">
        <v>390</v>
      </c>
      <c r="B34" s="15" t="s">
        <v>328</v>
      </c>
      <c r="C34" s="15" t="s">
        <v>332</v>
      </c>
      <c r="D34" s="15" t="s">
        <v>333</v>
      </c>
      <c r="E34" s="15" t="s">
        <v>323</v>
      </c>
      <c r="F34" s="15" t="s">
        <v>334</v>
      </c>
      <c r="G34" s="69">
        <v>321</v>
      </c>
      <c r="H34" s="15" t="s">
        <v>321</v>
      </c>
      <c r="I34" s="15" t="s">
        <v>322</v>
      </c>
      <c r="J34" s="62" t="s">
        <v>206</v>
      </c>
      <c r="K34" s="62" t="s">
        <v>324</v>
      </c>
    </row>
    <row r="35" spans="1:11" x14ac:dyDescent="0.4">
      <c r="A35" s="62" t="s">
        <v>391</v>
      </c>
      <c r="B35" s="15" t="s">
        <v>328</v>
      </c>
      <c r="C35" s="15" t="s">
        <v>332</v>
      </c>
      <c r="D35" s="15" t="s">
        <v>333</v>
      </c>
      <c r="E35" s="15" t="s">
        <v>323</v>
      </c>
      <c r="F35" s="15" t="s">
        <v>334</v>
      </c>
      <c r="G35" s="69">
        <v>141</v>
      </c>
      <c r="H35" s="15" t="s">
        <v>321</v>
      </c>
      <c r="I35" s="15" t="s">
        <v>322</v>
      </c>
      <c r="J35" s="62" t="s">
        <v>253</v>
      </c>
      <c r="K35" s="62" t="s">
        <v>324</v>
      </c>
    </row>
    <row r="36" spans="1:11" x14ac:dyDescent="0.4">
      <c r="A36" s="62" t="s">
        <v>392</v>
      </c>
      <c r="B36" s="15" t="s">
        <v>328</v>
      </c>
      <c r="C36" s="15" t="s">
        <v>332</v>
      </c>
      <c r="D36" s="15" t="s">
        <v>333</v>
      </c>
      <c r="E36" s="15" t="s">
        <v>323</v>
      </c>
      <c r="F36" s="15" t="s">
        <v>334</v>
      </c>
      <c r="G36" s="69">
        <v>435</v>
      </c>
      <c r="H36" s="15" t="s">
        <v>321</v>
      </c>
      <c r="I36" s="15" t="s">
        <v>322</v>
      </c>
      <c r="J36" s="62" t="s">
        <v>207</v>
      </c>
      <c r="K36" s="62" t="s">
        <v>324</v>
      </c>
    </row>
    <row r="37" spans="1:11" x14ac:dyDescent="0.4">
      <c r="A37" s="62" t="s">
        <v>393</v>
      </c>
      <c r="B37" s="15" t="s">
        <v>328</v>
      </c>
      <c r="C37" s="15" t="s">
        <v>332</v>
      </c>
      <c r="D37" s="15" t="s">
        <v>333</v>
      </c>
      <c r="E37" s="15" t="s">
        <v>323</v>
      </c>
      <c r="F37" s="15" t="s">
        <v>334</v>
      </c>
      <c r="G37" s="69">
        <v>4</v>
      </c>
      <c r="H37" s="15" t="s">
        <v>321</v>
      </c>
      <c r="I37" s="15" t="s">
        <v>322</v>
      </c>
      <c r="J37" s="62" t="s">
        <v>254</v>
      </c>
      <c r="K37" s="62" t="s">
        <v>324</v>
      </c>
    </row>
    <row r="38" spans="1:11" x14ac:dyDescent="0.4">
      <c r="A38" s="62" t="s">
        <v>394</v>
      </c>
      <c r="B38" s="15" t="s">
        <v>328</v>
      </c>
      <c r="C38" s="15" t="s">
        <v>332</v>
      </c>
      <c r="D38" s="15" t="s">
        <v>333</v>
      </c>
      <c r="E38" s="15" t="s">
        <v>323</v>
      </c>
      <c r="F38" s="15" t="s">
        <v>334</v>
      </c>
      <c r="G38" s="69">
        <v>215</v>
      </c>
      <c r="H38" s="15" t="s">
        <v>321</v>
      </c>
      <c r="I38" s="15" t="s">
        <v>322</v>
      </c>
      <c r="J38" s="62" t="s">
        <v>208</v>
      </c>
      <c r="K38" s="62" t="s">
        <v>324</v>
      </c>
    </row>
    <row r="39" spans="1:11" x14ac:dyDescent="0.4">
      <c r="A39" s="62" t="s">
        <v>395</v>
      </c>
      <c r="B39" s="15" t="s">
        <v>328</v>
      </c>
      <c r="C39" s="15" t="s">
        <v>332</v>
      </c>
      <c r="D39" s="15" t="s">
        <v>333</v>
      </c>
      <c r="E39" s="15" t="s">
        <v>323</v>
      </c>
      <c r="F39" s="15" t="s">
        <v>334</v>
      </c>
      <c r="G39" s="69">
        <v>252</v>
      </c>
      <c r="H39" s="15" t="s">
        <v>321</v>
      </c>
      <c r="I39" s="15" t="s">
        <v>322</v>
      </c>
      <c r="J39" s="62" t="s">
        <v>209</v>
      </c>
      <c r="K39" s="62" t="s">
        <v>324</v>
      </c>
    </row>
    <row r="40" spans="1:11" x14ac:dyDescent="0.4">
      <c r="A40" s="62" t="s">
        <v>396</v>
      </c>
      <c r="B40" s="15" t="s">
        <v>328</v>
      </c>
      <c r="C40" s="15" t="s">
        <v>332</v>
      </c>
      <c r="D40" s="15" t="s">
        <v>333</v>
      </c>
      <c r="E40" s="15" t="s">
        <v>323</v>
      </c>
      <c r="F40" s="15" t="s">
        <v>334</v>
      </c>
      <c r="G40" s="69">
        <v>376</v>
      </c>
      <c r="H40" s="15" t="s">
        <v>321</v>
      </c>
      <c r="I40" s="15" t="s">
        <v>322</v>
      </c>
      <c r="J40" s="62" t="s">
        <v>210</v>
      </c>
      <c r="K40" s="62" t="s">
        <v>324</v>
      </c>
    </row>
    <row r="41" spans="1:11" x14ac:dyDescent="0.4">
      <c r="A41" s="62" t="s">
        <v>397</v>
      </c>
      <c r="B41" s="15" t="s">
        <v>328</v>
      </c>
      <c r="C41" s="15" t="s">
        <v>332</v>
      </c>
      <c r="D41" s="15" t="s">
        <v>333</v>
      </c>
      <c r="E41" s="15" t="s">
        <v>323</v>
      </c>
      <c r="F41" s="15" t="s">
        <v>334</v>
      </c>
      <c r="G41" s="69">
        <v>344</v>
      </c>
      <c r="H41" s="15" t="s">
        <v>321</v>
      </c>
      <c r="I41" s="15" t="s">
        <v>322</v>
      </c>
      <c r="J41" s="62" t="s">
        <v>211</v>
      </c>
      <c r="K41" s="62" t="s">
        <v>324</v>
      </c>
    </row>
    <row r="42" spans="1:11" x14ac:dyDescent="0.4">
      <c r="A42" s="62" t="s">
        <v>398</v>
      </c>
      <c r="B42" s="15" t="s">
        <v>328</v>
      </c>
      <c r="C42" s="15" t="s">
        <v>332</v>
      </c>
      <c r="D42" s="15" t="s">
        <v>333</v>
      </c>
      <c r="E42" s="15" t="s">
        <v>323</v>
      </c>
      <c r="F42" s="15" t="s">
        <v>334</v>
      </c>
      <c r="G42" s="69">
        <v>1160</v>
      </c>
      <c r="H42" s="15" t="s">
        <v>321</v>
      </c>
      <c r="I42" s="15" t="s">
        <v>322</v>
      </c>
      <c r="J42" s="62" t="s">
        <v>212</v>
      </c>
      <c r="K42" s="62" t="s">
        <v>324</v>
      </c>
    </row>
    <row r="43" spans="1:11" x14ac:dyDescent="0.4">
      <c r="A43" s="62" t="s">
        <v>399</v>
      </c>
      <c r="B43" s="15" t="s">
        <v>328</v>
      </c>
      <c r="C43" s="15" t="s">
        <v>332</v>
      </c>
      <c r="D43" s="15" t="s">
        <v>333</v>
      </c>
      <c r="E43" s="15" t="s">
        <v>323</v>
      </c>
      <c r="F43" s="15" t="s">
        <v>334</v>
      </c>
      <c r="G43" s="69">
        <v>7750</v>
      </c>
      <c r="H43" s="15" t="s">
        <v>321</v>
      </c>
      <c r="I43" s="15" t="s">
        <v>322</v>
      </c>
      <c r="J43" s="62" t="s">
        <v>213</v>
      </c>
      <c r="K43" s="62" t="s">
        <v>324</v>
      </c>
    </row>
    <row r="44" spans="1:11" x14ac:dyDescent="0.4">
      <c r="A44" s="62" t="s">
        <v>400</v>
      </c>
      <c r="B44" s="15" t="s">
        <v>328</v>
      </c>
      <c r="C44" s="15" t="s">
        <v>332</v>
      </c>
      <c r="D44" s="15" t="s">
        <v>333</v>
      </c>
      <c r="E44" s="15" t="s">
        <v>323</v>
      </c>
      <c r="F44" s="15" t="s">
        <v>334</v>
      </c>
      <c r="G44" s="69">
        <v>914</v>
      </c>
      <c r="H44" s="15" t="s">
        <v>321</v>
      </c>
      <c r="I44" s="15" t="s">
        <v>322</v>
      </c>
      <c r="J44" s="62" t="s">
        <v>214</v>
      </c>
      <c r="K44" s="62" t="s">
        <v>324</v>
      </c>
    </row>
    <row r="45" spans="1:11" x14ac:dyDescent="0.4">
      <c r="A45" s="62" t="s">
        <v>401</v>
      </c>
      <c r="B45" s="15" t="s">
        <v>328</v>
      </c>
      <c r="C45" s="15" t="s">
        <v>332</v>
      </c>
      <c r="D45" s="15" t="s">
        <v>333</v>
      </c>
      <c r="E45" s="15" t="s">
        <v>323</v>
      </c>
      <c r="F45" s="15" t="s">
        <v>334</v>
      </c>
      <c r="G45" s="69">
        <v>5820</v>
      </c>
      <c r="H45" s="15" t="s">
        <v>321</v>
      </c>
      <c r="I45" s="15" t="s">
        <v>322</v>
      </c>
      <c r="J45" s="62" t="s">
        <v>215</v>
      </c>
      <c r="K45" s="62" t="s">
        <v>7</v>
      </c>
    </row>
    <row r="46" spans="1:11" x14ac:dyDescent="0.4">
      <c r="A46" s="62" t="s">
        <v>402</v>
      </c>
      <c r="B46" s="15" t="s">
        <v>328</v>
      </c>
      <c r="C46" s="15" t="s">
        <v>332</v>
      </c>
      <c r="D46" s="15" t="s">
        <v>333</v>
      </c>
      <c r="E46" s="15" t="s">
        <v>323</v>
      </c>
      <c r="F46" s="15" t="s">
        <v>334</v>
      </c>
      <c r="G46" s="69">
        <v>1170</v>
      </c>
      <c r="H46" s="15" t="s">
        <v>321</v>
      </c>
      <c r="I46" s="15" t="s">
        <v>322</v>
      </c>
      <c r="J46" s="62" t="s">
        <v>216</v>
      </c>
      <c r="K46" s="62" t="s">
        <v>7</v>
      </c>
    </row>
    <row r="47" spans="1:11" x14ac:dyDescent="0.4">
      <c r="A47" s="62" t="s">
        <v>403</v>
      </c>
      <c r="B47" s="15" t="s">
        <v>328</v>
      </c>
      <c r="C47" s="15" t="s">
        <v>332</v>
      </c>
      <c r="D47" s="15" t="s">
        <v>333</v>
      </c>
      <c r="E47" s="15" t="s">
        <v>323</v>
      </c>
      <c r="F47" s="15" t="s">
        <v>334</v>
      </c>
      <c r="G47" s="69">
        <v>4400</v>
      </c>
      <c r="H47" s="15" t="s">
        <v>321</v>
      </c>
      <c r="I47" s="15" t="s">
        <v>322</v>
      </c>
      <c r="J47" s="62" t="s">
        <v>217</v>
      </c>
      <c r="K47" s="62" t="s">
        <v>7</v>
      </c>
    </row>
    <row r="48" spans="1:11" x14ac:dyDescent="0.4">
      <c r="A48" s="62" t="s">
        <v>404</v>
      </c>
      <c r="B48" s="15" t="s">
        <v>328</v>
      </c>
      <c r="C48" s="15" t="s">
        <v>332</v>
      </c>
      <c r="D48" s="15" t="s">
        <v>333</v>
      </c>
      <c r="E48" s="15" t="s">
        <v>323</v>
      </c>
      <c r="F48" s="15" t="s">
        <v>334</v>
      </c>
      <c r="G48" s="69">
        <v>954</v>
      </c>
      <c r="H48" s="15" t="s">
        <v>321</v>
      </c>
      <c r="I48" s="15" t="s">
        <v>322</v>
      </c>
      <c r="J48" s="62" t="s">
        <v>218</v>
      </c>
      <c r="K48" s="62" t="s">
        <v>7</v>
      </c>
    </row>
    <row r="49" spans="1:11" x14ac:dyDescent="0.4">
      <c r="A49" s="62" t="s">
        <v>405</v>
      </c>
      <c r="B49" s="15" t="s">
        <v>328</v>
      </c>
      <c r="C49" s="15" t="s">
        <v>332</v>
      </c>
      <c r="D49" s="15" t="s">
        <v>333</v>
      </c>
      <c r="E49" s="15" t="s">
        <v>323</v>
      </c>
      <c r="F49" s="15" t="s">
        <v>334</v>
      </c>
      <c r="G49" s="69">
        <v>12700</v>
      </c>
      <c r="H49" s="15" t="s">
        <v>321</v>
      </c>
      <c r="I49" s="15" t="s">
        <v>322</v>
      </c>
      <c r="J49" s="62" t="s">
        <v>219</v>
      </c>
      <c r="K49" s="62" t="s">
        <v>7</v>
      </c>
    </row>
    <row r="50" spans="1:11" x14ac:dyDescent="0.4">
      <c r="A50" s="62" t="s">
        <v>406</v>
      </c>
      <c r="B50" s="15" t="s">
        <v>328</v>
      </c>
      <c r="C50" s="15" t="s">
        <v>332</v>
      </c>
      <c r="D50" s="15" t="s">
        <v>333</v>
      </c>
      <c r="E50" s="15" t="s">
        <v>323</v>
      </c>
      <c r="F50" s="15" t="s">
        <v>334</v>
      </c>
      <c r="G50" s="69">
        <v>2450</v>
      </c>
      <c r="H50" s="15" t="s">
        <v>321</v>
      </c>
      <c r="I50" s="15" t="s">
        <v>322</v>
      </c>
      <c r="J50" s="62" t="s">
        <v>220</v>
      </c>
      <c r="K50" s="62" t="s">
        <v>7</v>
      </c>
    </row>
    <row r="51" spans="1:11" x14ac:dyDescent="0.4">
      <c r="A51" s="62" t="s">
        <v>407</v>
      </c>
      <c r="B51" s="15" t="s">
        <v>328</v>
      </c>
      <c r="C51" s="15" t="s">
        <v>332</v>
      </c>
      <c r="D51" s="15" t="s">
        <v>333</v>
      </c>
      <c r="E51" s="15" t="s">
        <v>323</v>
      </c>
      <c r="F51" s="15" t="s">
        <v>334</v>
      </c>
      <c r="G51" s="69">
        <v>17600</v>
      </c>
      <c r="H51" s="15" t="s">
        <v>321</v>
      </c>
      <c r="I51" s="15" t="s">
        <v>322</v>
      </c>
      <c r="J51" s="62" t="s">
        <v>221</v>
      </c>
      <c r="K51" s="62" t="s">
        <v>7</v>
      </c>
    </row>
    <row r="52" spans="1:11" x14ac:dyDescent="0.4">
      <c r="A52" s="62" t="s">
        <v>408</v>
      </c>
      <c r="B52" s="15" t="s">
        <v>328</v>
      </c>
      <c r="C52" s="15" t="s">
        <v>332</v>
      </c>
      <c r="D52" s="15" t="s">
        <v>333</v>
      </c>
      <c r="E52" s="15" t="s">
        <v>323</v>
      </c>
      <c r="F52" s="15" t="s">
        <v>334</v>
      </c>
      <c r="G52" s="69">
        <v>3510</v>
      </c>
      <c r="H52" s="15" t="s">
        <v>321</v>
      </c>
      <c r="I52" s="15" t="s">
        <v>322</v>
      </c>
      <c r="J52" s="62" t="s">
        <v>222</v>
      </c>
      <c r="K52" s="62" t="s">
        <v>7</v>
      </c>
    </row>
    <row r="53" spans="1:11" x14ac:dyDescent="0.4">
      <c r="A53" s="62" t="s">
        <v>409</v>
      </c>
      <c r="B53" s="15" t="s">
        <v>328</v>
      </c>
      <c r="C53" s="15" t="s">
        <v>332</v>
      </c>
      <c r="D53" s="15" t="s">
        <v>333</v>
      </c>
      <c r="E53" s="15" t="s">
        <v>323</v>
      </c>
      <c r="F53" s="15" t="s">
        <v>334</v>
      </c>
      <c r="G53" s="69">
        <v>4360</v>
      </c>
      <c r="H53" s="15" t="s">
        <v>321</v>
      </c>
      <c r="I53" s="15" t="s">
        <v>322</v>
      </c>
      <c r="J53" s="62" t="s">
        <v>223</v>
      </c>
      <c r="K53" s="62" t="s">
        <v>7</v>
      </c>
    </row>
    <row r="54" spans="1:11" x14ac:dyDescent="0.4">
      <c r="A54" s="62" t="s">
        <v>410</v>
      </c>
      <c r="B54" s="15" t="s">
        <v>328</v>
      </c>
      <c r="C54" s="15" t="s">
        <v>332</v>
      </c>
      <c r="D54" s="15" t="s">
        <v>333</v>
      </c>
      <c r="E54" s="15" t="s">
        <v>323</v>
      </c>
      <c r="F54" s="15" t="s">
        <v>334</v>
      </c>
      <c r="G54" s="69">
        <v>133</v>
      </c>
      <c r="H54" s="15" t="s">
        <v>321</v>
      </c>
      <c r="I54" s="15" t="s">
        <v>322</v>
      </c>
      <c r="J54" s="62" t="s">
        <v>224</v>
      </c>
      <c r="K54" s="62" t="s">
        <v>7</v>
      </c>
    </row>
    <row r="55" spans="1:11" x14ac:dyDescent="0.4">
      <c r="A55" s="62" t="s">
        <v>1</v>
      </c>
      <c r="B55" s="15" t="s">
        <v>328</v>
      </c>
      <c r="C55" s="15" t="s">
        <v>332</v>
      </c>
      <c r="D55" s="15" t="s">
        <v>333</v>
      </c>
      <c r="E55" s="15" t="s">
        <v>323</v>
      </c>
      <c r="F55" s="15" t="s">
        <v>334</v>
      </c>
      <c r="G55" s="69">
        <v>9040</v>
      </c>
      <c r="H55" s="15" t="s">
        <v>321</v>
      </c>
      <c r="I55" s="15" t="s">
        <v>322</v>
      </c>
      <c r="J55" s="62" t="s">
        <v>225</v>
      </c>
      <c r="K55" s="62" t="s">
        <v>7</v>
      </c>
    </row>
    <row r="56" spans="1:11" x14ac:dyDescent="0.4">
      <c r="A56" s="62" t="s">
        <v>411</v>
      </c>
      <c r="B56" s="15" t="s">
        <v>328</v>
      </c>
      <c r="C56" s="15" t="s">
        <v>332</v>
      </c>
      <c r="D56" s="15" t="s">
        <v>333</v>
      </c>
      <c r="E56" s="15" t="s">
        <v>323</v>
      </c>
      <c r="F56" s="15" t="s">
        <v>334</v>
      </c>
      <c r="G56" s="69">
        <v>85000</v>
      </c>
      <c r="H56" s="15" t="s">
        <v>321</v>
      </c>
      <c r="I56" s="15" t="s">
        <v>322</v>
      </c>
      <c r="J56" s="62" t="s">
        <v>226</v>
      </c>
      <c r="K56" s="62" t="s">
        <v>7</v>
      </c>
    </row>
    <row r="57" spans="1:11" x14ac:dyDescent="0.4">
      <c r="A57" s="62" t="s">
        <v>412</v>
      </c>
      <c r="B57" s="15" t="s">
        <v>328</v>
      </c>
      <c r="C57" s="15" t="s">
        <v>332</v>
      </c>
      <c r="D57" s="15" t="s">
        <v>333</v>
      </c>
      <c r="E57" s="15" t="s">
        <v>323</v>
      </c>
      <c r="F57" s="15" t="s">
        <v>334</v>
      </c>
      <c r="G57" s="69">
        <v>169000</v>
      </c>
      <c r="H57" s="15" t="s">
        <v>321</v>
      </c>
      <c r="I57" s="15" t="s">
        <v>322</v>
      </c>
      <c r="J57" s="62" t="s">
        <v>227</v>
      </c>
      <c r="K57" s="62" t="s">
        <v>7</v>
      </c>
    </row>
    <row r="58" spans="1:11" x14ac:dyDescent="0.4">
      <c r="A58" s="62" t="s">
        <v>413</v>
      </c>
      <c r="B58" s="15" t="s">
        <v>328</v>
      </c>
      <c r="C58" s="15" t="s">
        <v>332</v>
      </c>
      <c r="D58" s="15" t="s">
        <v>333</v>
      </c>
      <c r="E58" s="15" t="s">
        <v>323</v>
      </c>
      <c r="F58" s="15" t="s">
        <v>334</v>
      </c>
      <c r="G58" s="69">
        <v>243000</v>
      </c>
      <c r="H58" s="15" t="s">
        <v>321</v>
      </c>
      <c r="I58" s="15" t="s">
        <v>322</v>
      </c>
      <c r="J58" s="62" t="s">
        <v>228</v>
      </c>
      <c r="K58" s="62" t="s">
        <v>324</v>
      </c>
    </row>
    <row r="59" spans="1:11" x14ac:dyDescent="0.4">
      <c r="A59" s="62" t="s">
        <v>414</v>
      </c>
      <c r="B59" s="15" t="s">
        <v>328</v>
      </c>
      <c r="C59" s="15" t="s">
        <v>332</v>
      </c>
      <c r="D59" s="15" t="s">
        <v>333</v>
      </c>
      <c r="E59" s="15" t="s">
        <v>323</v>
      </c>
      <c r="F59" s="15" t="s">
        <v>334</v>
      </c>
      <c r="G59" s="69">
        <v>208000</v>
      </c>
      <c r="H59" s="15" t="s">
        <v>321</v>
      </c>
      <c r="I59" s="15" t="s">
        <v>322</v>
      </c>
      <c r="J59" s="62" t="s">
        <v>229</v>
      </c>
      <c r="K59" s="62" t="s">
        <v>324</v>
      </c>
    </row>
    <row r="60" spans="1:11" x14ac:dyDescent="0.4">
      <c r="A60" s="62" t="s">
        <v>415</v>
      </c>
      <c r="B60" s="15" t="s">
        <v>328</v>
      </c>
      <c r="C60" s="15" t="s">
        <v>332</v>
      </c>
      <c r="D60" s="15" t="s">
        <v>333</v>
      </c>
      <c r="E60" s="15" t="s">
        <v>323</v>
      </c>
      <c r="F60" s="15" t="s">
        <v>334</v>
      </c>
      <c r="G60" s="69">
        <v>179</v>
      </c>
      <c r="H60" s="15" t="s">
        <v>321</v>
      </c>
      <c r="I60" s="15" t="s">
        <v>322</v>
      </c>
      <c r="J60" s="62" t="s">
        <v>230</v>
      </c>
      <c r="K60" s="62" t="s">
        <v>324</v>
      </c>
    </row>
    <row r="61" spans="1:11" x14ac:dyDescent="0.4">
      <c r="A61" s="62" t="s">
        <v>416</v>
      </c>
      <c r="B61" s="15" t="s">
        <v>328</v>
      </c>
      <c r="C61" s="15" t="s">
        <v>332</v>
      </c>
      <c r="D61" s="15" t="s">
        <v>333</v>
      </c>
      <c r="E61" s="15" t="s">
        <v>323</v>
      </c>
      <c r="F61" s="15" t="s">
        <v>334</v>
      </c>
      <c r="G61" s="69">
        <v>5160</v>
      </c>
      <c r="H61" s="15" t="s">
        <v>321</v>
      </c>
      <c r="I61" s="15" t="s">
        <v>322</v>
      </c>
      <c r="J61" s="62" t="s">
        <v>231</v>
      </c>
      <c r="K61" s="62" t="s">
        <v>324</v>
      </c>
    </row>
    <row r="62" spans="1:11" x14ac:dyDescent="0.4">
      <c r="A62" s="62" t="s">
        <v>417</v>
      </c>
      <c r="B62" s="15" t="s">
        <v>328</v>
      </c>
      <c r="C62" s="15" t="s">
        <v>332</v>
      </c>
      <c r="D62" s="15" t="s">
        <v>333</v>
      </c>
      <c r="E62" s="15" t="s">
        <v>323</v>
      </c>
      <c r="F62" s="15" t="s">
        <v>334</v>
      </c>
      <c r="G62" s="69">
        <v>18.899999999999999</v>
      </c>
      <c r="H62" s="15" t="s">
        <v>321</v>
      </c>
      <c r="I62" s="15" t="s">
        <v>322</v>
      </c>
      <c r="J62" s="62" t="s">
        <v>255</v>
      </c>
      <c r="K62" s="62" t="s">
        <v>324</v>
      </c>
    </row>
    <row r="63" spans="1:11" x14ac:dyDescent="0.4">
      <c r="A63" s="62" t="s">
        <v>418</v>
      </c>
      <c r="B63" s="15" t="s">
        <v>328</v>
      </c>
      <c r="C63" s="15" t="s">
        <v>332</v>
      </c>
      <c r="D63" s="15" t="s">
        <v>333</v>
      </c>
      <c r="E63" s="15" t="s">
        <v>323</v>
      </c>
      <c r="F63" s="15" t="s">
        <v>334</v>
      </c>
      <c r="G63" s="69">
        <v>697</v>
      </c>
      <c r="H63" s="15" t="s">
        <v>321</v>
      </c>
      <c r="I63" s="15" t="s">
        <v>322</v>
      </c>
      <c r="J63" s="62" t="s">
        <v>232</v>
      </c>
      <c r="K63" s="62" t="s">
        <v>2</v>
      </c>
    </row>
    <row r="64" spans="1:11" x14ac:dyDescent="0.4">
      <c r="A64" s="62" t="s">
        <v>419</v>
      </c>
      <c r="B64" s="15" t="s">
        <v>328</v>
      </c>
      <c r="C64" s="15" t="s">
        <v>332</v>
      </c>
      <c r="D64" s="15" t="s">
        <v>333</v>
      </c>
      <c r="E64" s="15" t="s">
        <v>323</v>
      </c>
      <c r="F64" s="15" t="s">
        <v>334</v>
      </c>
      <c r="G64" s="69">
        <v>1260</v>
      </c>
      <c r="H64" s="15" t="s">
        <v>321</v>
      </c>
      <c r="I64" s="15" t="s">
        <v>322</v>
      </c>
      <c r="J64" s="62" t="s">
        <v>233</v>
      </c>
      <c r="K64" s="62" t="s">
        <v>324</v>
      </c>
    </row>
    <row r="65" spans="1:11" x14ac:dyDescent="0.4">
      <c r="A65" s="62" t="s">
        <v>420</v>
      </c>
      <c r="B65" s="15" t="s">
        <v>328</v>
      </c>
      <c r="C65" s="15" t="s">
        <v>332</v>
      </c>
      <c r="D65" s="15" t="s">
        <v>333</v>
      </c>
      <c r="E65" s="15" t="s">
        <v>323</v>
      </c>
      <c r="F65" s="15" t="s">
        <v>334</v>
      </c>
      <c r="G65" s="69">
        <v>1270</v>
      </c>
      <c r="H65" s="15" t="s">
        <v>321</v>
      </c>
      <c r="I65" s="15" t="s">
        <v>322</v>
      </c>
      <c r="J65" s="62" t="s">
        <v>234</v>
      </c>
      <c r="K65" s="62" t="s">
        <v>324</v>
      </c>
    </row>
    <row r="66" spans="1:11" x14ac:dyDescent="0.4">
      <c r="A66" s="15" t="s">
        <v>358</v>
      </c>
      <c r="B66" s="15" t="s">
        <v>329</v>
      </c>
      <c r="C66" s="15" t="s">
        <v>333</v>
      </c>
      <c r="D66" s="15" t="s">
        <v>332</v>
      </c>
      <c r="E66" s="15" t="s">
        <v>323</v>
      </c>
      <c r="F66" s="15" t="s">
        <v>334</v>
      </c>
      <c r="G66" s="68">
        <v>0.9</v>
      </c>
      <c r="H66" s="15" t="s">
        <v>326</v>
      </c>
      <c r="I66" s="15" t="s">
        <v>322</v>
      </c>
      <c r="J66" s="15" t="s">
        <v>276</v>
      </c>
      <c r="K66" s="15" t="s">
        <v>324</v>
      </c>
    </row>
    <row r="67" spans="1:11" x14ac:dyDescent="0.4">
      <c r="A67" s="15" t="s">
        <v>359</v>
      </c>
      <c r="B67" s="15" t="s">
        <v>329</v>
      </c>
      <c r="C67" s="15" t="s">
        <v>333</v>
      </c>
      <c r="D67" s="15" t="s">
        <v>332</v>
      </c>
      <c r="E67" s="15" t="s">
        <v>323</v>
      </c>
      <c r="F67" s="15" t="s">
        <v>334</v>
      </c>
      <c r="G67" s="68">
        <v>7.1</v>
      </c>
      <c r="H67" s="15" t="s">
        <v>326</v>
      </c>
      <c r="I67" s="15" t="s">
        <v>322</v>
      </c>
      <c r="J67" s="15" t="s">
        <v>277</v>
      </c>
      <c r="K67" s="15" t="s">
        <v>324</v>
      </c>
    </row>
    <row r="68" spans="1:11" x14ac:dyDescent="0.4">
      <c r="A68" s="15" t="s">
        <v>360</v>
      </c>
      <c r="B68" s="15" t="s">
        <v>329</v>
      </c>
      <c r="C68" s="15" t="s">
        <v>333</v>
      </c>
      <c r="D68" s="15" t="s">
        <v>332</v>
      </c>
      <c r="E68" s="15" t="s">
        <v>323</v>
      </c>
      <c r="F68" s="15" t="s">
        <v>334</v>
      </c>
      <c r="G68" s="68">
        <v>122</v>
      </c>
      <c r="H68" s="15" t="s">
        <v>326</v>
      </c>
      <c r="I68" s="15" t="s">
        <v>322</v>
      </c>
      <c r="J68" s="15" t="s">
        <v>278</v>
      </c>
      <c r="K68" s="15" t="s">
        <v>7</v>
      </c>
    </row>
    <row r="69" spans="1:11" x14ac:dyDescent="0.4">
      <c r="A69" s="15" t="s">
        <v>361</v>
      </c>
      <c r="B69" s="15" t="s">
        <v>329</v>
      </c>
      <c r="C69" s="15" t="s">
        <v>333</v>
      </c>
      <c r="D69" s="15" t="s">
        <v>332</v>
      </c>
      <c r="E69" s="15" t="s">
        <v>323</v>
      </c>
      <c r="F69" s="15" t="s">
        <v>334</v>
      </c>
      <c r="G69" s="68">
        <v>1.5</v>
      </c>
      <c r="H69" s="15" t="s">
        <v>326</v>
      </c>
      <c r="I69" s="15" t="s">
        <v>322</v>
      </c>
      <c r="J69" s="15" t="s">
        <v>279</v>
      </c>
      <c r="K69" s="15" t="s">
        <v>324</v>
      </c>
    </row>
    <row r="70" spans="1:11" x14ac:dyDescent="0.4">
      <c r="A70" s="15" t="s">
        <v>362</v>
      </c>
      <c r="B70" s="15" t="s">
        <v>329</v>
      </c>
      <c r="C70" s="15" t="s">
        <v>333</v>
      </c>
      <c r="D70" s="15" t="s">
        <v>332</v>
      </c>
      <c r="E70" s="15" t="s">
        <v>323</v>
      </c>
      <c r="F70" s="15" t="s">
        <v>334</v>
      </c>
      <c r="G70" s="68">
        <v>5.4</v>
      </c>
      <c r="H70" s="15" t="s">
        <v>326</v>
      </c>
      <c r="I70" s="15" t="s">
        <v>322</v>
      </c>
      <c r="J70" s="15" t="s">
        <v>280</v>
      </c>
      <c r="K70" s="15" t="s">
        <v>324</v>
      </c>
    </row>
    <row r="71" spans="1:11" x14ac:dyDescent="0.4">
      <c r="A71" s="15" t="s">
        <v>363</v>
      </c>
      <c r="B71" s="15" t="s">
        <v>329</v>
      </c>
      <c r="C71" s="15" t="s">
        <v>333</v>
      </c>
      <c r="D71" s="15" t="s">
        <v>332</v>
      </c>
      <c r="E71" s="15" t="s">
        <v>323</v>
      </c>
      <c r="F71" s="15" t="s">
        <v>334</v>
      </c>
      <c r="G71" s="68">
        <v>8.1999999999999993</v>
      </c>
      <c r="H71" s="15" t="s">
        <v>326</v>
      </c>
      <c r="I71" s="15" t="s">
        <v>322</v>
      </c>
      <c r="J71" s="15" t="s">
        <v>281</v>
      </c>
      <c r="K71" s="15" t="s">
        <v>324</v>
      </c>
    </row>
    <row r="72" spans="1:11" x14ac:dyDescent="0.4">
      <c r="A72" s="15" t="s">
        <v>364</v>
      </c>
      <c r="B72" s="15" t="s">
        <v>329</v>
      </c>
      <c r="C72" s="15" t="s">
        <v>333</v>
      </c>
      <c r="D72" s="15" t="s">
        <v>332</v>
      </c>
      <c r="E72" s="15" t="s">
        <v>323</v>
      </c>
      <c r="F72" s="15" t="s">
        <v>334</v>
      </c>
      <c r="G72" s="68">
        <v>1</v>
      </c>
      <c r="H72" s="15" t="s">
        <v>326</v>
      </c>
      <c r="I72" s="15" t="s">
        <v>322</v>
      </c>
      <c r="J72" s="15" t="s">
        <v>282</v>
      </c>
      <c r="K72" s="15" t="s">
        <v>7</v>
      </c>
    </row>
    <row r="73" spans="1:11" x14ac:dyDescent="0.4">
      <c r="A73" s="15" t="s">
        <v>365</v>
      </c>
      <c r="B73" s="15" t="s">
        <v>329</v>
      </c>
      <c r="C73" s="15" t="s">
        <v>333</v>
      </c>
      <c r="D73" s="15" t="s">
        <v>332</v>
      </c>
      <c r="E73" s="15" t="s">
        <v>323</v>
      </c>
      <c r="F73" s="15" t="s">
        <v>334</v>
      </c>
      <c r="G73" s="68">
        <v>5710</v>
      </c>
      <c r="H73" s="15" t="s">
        <v>326</v>
      </c>
      <c r="I73" s="15" t="s">
        <v>322</v>
      </c>
      <c r="J73" s="15" t="s">
        <v>256</v>
      </c>
      <c r="K73" s="15" t="s">
        <v>7</v>
      </c>
    </row>
    <row r="74" spans="1:11" x14ac:dyDescent="0.4">
      <c r="A74" s="62" t="s">
        <v>366</v>
      </c>
      <c r="B74" s="15" t="s">
        <v>329</v>
      </c>
      <c r="C74" s="15" t="s">
        <v>333</v>
      </c>
      <c r="D74" s="15" t="s">
        <v>332</v>
      </c>
      <c r="E74" s="15" t="s">
        <v>323</v>
      </c>
      <c r="F74" s="15" t="s">
        <v>334</v>
      </c>
      <c r="G74" s="69">
        <v>8.1</v>
      </c>
      <c r="H74" s="15" t="s">
        <v>326</v>
      </c>
      <c r="I74" s="15" t="s">
        <v>322</v>
      </c>
      <c r="J74" s="62" t="s">
        <v>283</v>
      </c>
      <c r="K74" s="62" t="s">
        <v>8</v>
      </c>
    </row>
    <row r="75" spans="1:11" x14ac:dyDescent="0.4">
      <c r="A75" s="62" t="s">
        <v>367</v>
      </c>
      <c r="B75" s="15" t="s">
        <v>329</v>
      </c>
      <c r="C75" s="15" t="s">
        <v>333</v>
      </c>
      <c r="D75" s="15" t="s">
        <v>332</v>
      </c>
      <c r="E75" s="15" t="s">
        <v>323</v>
      </c>
      <c r="F75" s="15" t="s">
        <v>334</v>
      </c>
      <c r="G75" s="69">
        <v>33.1</v>
      </c>
      <c r="H75" s="15" t="s">
        <v>326</v>
      </c>
      <c r="I75" s="15" t="s">
        <v>322</v>
      </c>
      <c r="J75" s="62" t="s">
        <v>284</v>
      </c>
      <c r="K75" s="62" t="s">
        <v>8</v>
      </c>
    </row>
    <row r="76" spans="1:11" x14ac:dyDescent="0.4">
      <c r="A76" s="62" t="s">
        <v>368</v>
      </c>
      <c r="B76" s="15" t="s">
        <v>329</v>
      </c>
      <c r="C76" s="15" t="s">
        <v>333</v>
      </c>
      <c r="D76" s="15" t="s">
        <v>332</v>
      </c>
      <c r="E76" s="15" t="s">
        <v>323</v>
      </c>
      <c r="F76" s="15" t="s">
        <v>334</v>
      </c>
      <c r="G76" s="69">
        <v>2.4</v>
      </c>
      <c r="H76" s="15" t="s">
        <v>326</v>
      </c>
      <c r="I76" s="15" t="s">
        <v>322</v>
      </c>
      <c r="J76" s="62" t="s">
        <v>285</v>
      </c>
      <c r="K76" s="62" t="s">
        <v>69</v>
      </c>
    </row>
    <row r="77" spans="1:11" x14ac:dyDescent="0.4">
      <c r="A77" s="62" t="s">
        <v>369</v>
      </c>
      <c r="B77" s="15" t="s">
        <v>329</v>
      </c>
      <c r="C77" s="15" t="s">
        <v>333</v>
      </c>
      <c r="D77" s="15" t="s">
        <v>332</v>
      </c>
      <c r="E77" s="15" t="s">
        <v>323</v>
      </c>
      <c r="F77" s="15" t="s">
        <v>334</v>
      </c>
      <c r="G77" s="69">
        <v>1</v>
      </c>
      <c r="H77" s="15" t="s">
        <v>326</v>
      </c>
      <c r="I77" s="15" t="s">
        <v>322</v>
      </c>
      <c r="J77" s="62" t="s">
        <v>286</v>
      </c>
      <c r="K77" s="62" t="s">
        <v>324</v>
      </c>
    </row>
    <row r="78" spans="1:11" x14ac:dyDescent="0.4">
      <c r="A78" s="62" t="s">
        <v>370</v>
      </c>
      <c r="B78" s="15" t="s">
        <v>329</v>
      </c>
      <c r="C78" s="15" t="s">
        <v>333</v>
      </c>
      <c r="D78" s="15" t="s">
        <v>332</v>
      </c>
      <c r="E78" s="15" t="s">
        <v>323</v>
      </c>
      <c r="F78" s="15" t="s">
        <v>334</v>
      </c>
      <c r="G78" s="69">
        <v>1.5</v>
      </c>
      <c r="H78" s="15" t="s">
        <v>326</v>
      </c>
      <c r="I78" s="15" t="s">
        <v>322</v>
      </c>
      <c r="J78" s="62" t="s">
        <v>287</v>
      </c>
      <c r="K78" s="62" t="s">
        <v>324</v>
      </c>
    </row>
    <row r="79" spans="1:11" x14ac:dyDescent="0.4">
      <c r="A79" s="62" t="s">
        <v>371</v>
      </c>
      <c r="B79" s="15" t="s">
        <v>329</v>
      </c>
      <c r="C79" s="15" t="s">
        <v>333</v>
      </c>
      <c r="D79" s="15" t="s">
        <v>332</v>
      </c>
      <c r="E79" s="15" t="s">
        <v>323</v>
      </c>
      <c r="F79" s="15" t="s">
        <v>334</v>
      </c>
      <c r="G79" s="69">
        <v>8.3000000000000007</v>
      </c>
      <c r="H79" s="15" t="s">
        <v>326</v>
      </c>
      <c r="I79" s="15" t="s">
        <v>322</v>
      </c>
      <c r="J79" s="62" t="s">
        <v>288</v>
      </c>
      <c r="K79" s="62" t="s">
        <v>324</v>
      </c>
    </row>
    <row r="80" spans="1:11" x14ac:dyDescent="0.4">
      <c r="A80" s="62" t="s">
        <v>372</v>
      </c>
      <c r="B80" s="15" t="s">
        <v>329</v>
      </c>
      <c r="C80" s="15" t="s">
        <v>333</v>
      </c>
      <c r="D80" s="15" t="s">
        <v>332</v>
      </c>
      <c r="E80" s="15" t="s">
        <v>323</v>
      </c>
      <c r="F80" s="15" t="s">
        <v>334</v>
      </c>
      <c r="G80" s="69">
        <v>6.5</v>
      </c>
      <c r="H80" s="15" t="s">
        <v>326</v>
      </c>
      <c r="I80" s="15" t="s">
        <v>322</v>
      </c>
      <c r="J80" s="62" t="s">
        <v>289</v>
      </c>
      <c r="K80" s="62" t="s">
        <v>324</v>
      </c>
    </row>
    <row r="81" spans="1:11" x14ac:dyDescent="0.4">
      <c r="A81" s="62" t="s">
        <v>373</v>
      </c>
      <c r="B81" s="15" t="s">
        <v>329</v>
      </c>
      <c r="C81" s="15" t="s">
        <v>333</v>
      </c>
      <c r="D81" s="15" t="s">
        <v>332</v>
      </c>
      <c r="E81" s="15" t="s">
        <v>323</v>
      </c>
      <c r="F81" s="15" t="s">
        <v>334</v>
      </c>
      <c r="G81" s="69">
        <v>2.8</v>
      </c>
      <c r="H81" s="15" t="s">
        <v>326</v>
      </c>
      <c r="I81" s="15" t="s">
        <v>322</v>
      </c>
      <c r="J81" s="62" t="s">
        <v>290</v>
      </c>
      <c r="K81" s="62" t="s">
        <v>324</v>
      </c>
    </row>
    <row r="82" spans="1:11" x14ac:dyDescent="0.4">
      <c r="A82" s="62" t="s">
        <v>374</v>
      </c>
      <c r="B82" s="15" t="s">
        <v>329</v>
      </c>
      <c r="C82" s="15" t="s">
        <v>333</v>
      </c>
      <c r="D82" s="15" t="s">
        <v>332</v>
      </c>
      <c r="E82" s="15" t="s">
        <v>323</v>
      </c>
      <c r="F82" s="15" t="s">
        <v>334</v>
      </c>
      <c r="G82" s="69">
        <v>3.1</v>
      </c>
      <c r="H82" s="15" t="s">
        <v>326</v>
      </c>
      <c r="I82" s="15" t="s">
        <v>322</v>
      </c>
      <c r="J82" s="62" t="s">
        <v>291</v>
      </c>
      <c r="K82" s="62" t="s">
        <v>324</v>
      </c>
    </row>
    <row r="83" spans="1:11" x14ac:dyDescent="0.4">
      <c r="A83" s="62" t="s">
        <v>375</v>
      </c>
      <c r="B83" s="15" t="s">
        <v>329</v>
      </c>
      <c r="C83" s="15" t="s">
        <v>333</v>
      </c>
      <c r="D83" s="15" t="s">
        <v>332</v>
      </c>
      <c r="E83" s="15" t="s">
        <v>323</v>
      </c>
      <c r="F83" s="15" t="s">
        <v>334</v>
      </c>
      <c r="G83" s="69">
        <v>205</v>
      </c>
      <c r="H83" s="15" t="s">
        <v>326</v>
      </c>
      <c r="I83" s="15" t="s">
        <v>322</v>
      </c>
      <c r="J83" s="62" t="s">
        <v>257</v>
      </c>
      <c r="K83" s="62" t="s">
        <v>324</v>
      </c>
    </row>
    <row r="84" spans="1:11" x14ac:dyDescent="0.4">
      <c r="A84" s="62" t="s">
        <v>376</v>
      </c>
      <c r="B84" s="15" t="s">
        <v>329</v>
      </c>
      <c r="C84" s="15" t="s">
        <v>333</v>
      </c>
      <c r="D84" s="15" t="s">
        <v>332</v>
      </c>
      <c r="E84" s="15" t="s">
        <v>323</v>
      </c>
      <c r="F84" s="15" t="s">
        <v>334</v>
      </c>
      <c r="G84" s="69">
        <v>170</v>
      </c>
      <c r="H84" s="15" t="s">
        <v>326</v>
      </c>
      <c r="I84" s="15" t="s">
        <v>322</v>
      </c>
      <c r="J84" s="62" t="s">
        <v>258</v>
      </c>
      <c r="K84" s="62" t="s">
        <v>324</v>
      </c>
    </row>
    <row r="85" spans="1:11" x14ac:dyDescent="0.4">
      <c r="A85" s="62" t="s">
        <v>377</v>
      </c>
      <c r="B85" s="15" t="s">
        <v>329</v>
      </c>
      <c r="C85" s="15" t="s">
        <v>333</v>
      </c>
      <c r="D85" s="15" t="s">
        <v>332</v>
      </c>
      <c r="E85" s="15" t="s">
        <v>323</v>
      </c>
      <c r="F85" s="15" t="s">
        <v>334</v>
      </c>
      <c r="G85" s="69">
        <v>0.3</v>
      </c>
      <c r="H85" s="15" t="s">
        <v>326</v>
      </c>
      <c r="I85" s="15" t="s">
        <v>322</v>
      </c>
      <c r="J85" s="62" t="s">
        <v>292</v>
      </c>
      <c r="K85" s="62" t="s">
        <v>324</v>
      </c>
    </row>
    <row r="86" spans="1:11" x14ac:dyDescent="0.4">
      <c r="A86" s="62" t="s">
        <v>378</v>
      </c>
      <c r="B86" s="15" t="s">
        <v>329</v>
      </c>
      <c r="C86" s="15" t="s">
        <v>333</v>
      </c>
      <c r="D86" s="15" t="s">
        <v>332</v>
      </c>
      <c r="E86" s="15" t="s">
        <v>323</v>
      </c>
      <c r="F86" s="15" t="s">
        <v>334</v>
      </c>
      <c r="G86" s="69">
        <v>3.6</v>
      </c>
      <c r="H86" s="15" t="s">
        <v>326</v>
      </c>
      <c r="I86" s="15" t="s">
        <v>322</v>
      </c>
      <c r="J86" s="62" t="s">
        <v>293</v>
      </c>
      <c r="K86" s="62" t="s">
        <v>324</v>
      </c>
    </row>
    <row r="87" spans="1:11" x14ac:dyDescent="0.4">
      <c r="A87" s="62" t="s">
        <v>379</v>
      </c>
      <c r="B87" s="15" t="s">
        <v>329</v>
      </c>
      <c r="C87" s="15" t="s">
        <v>333</v>
      </c>
      <c r="D87" s="15" t="s">
        <v>332</v>
      </c>
      <c r="E87" s="15" t="s">
        <v>323</v>
      </c>
      <c r="F87" s="15" t="s">
        <v>334</v>
      </c>
      <c r="G87" s="69">
        <v>3.2</v>
      </c>
      <c r="H87" s="15" t="s">
        <v>326</v>
      </c>
      <c r="I87" s="15" t="s">
        <v>322</v>
      </c>
      <c r="J87" s="62" t="s">
        <v>294</v>
      </c>
      <c r="K87" s="62" t="s">
        <v>7</v>
      </c>
    </row>
    <row r="88" spans="1:11" x14ac:dyDescent="0.4">
      <c r="A88" s="62" t="s">
        <v>380</v>
      </c>
      <c r="B88" s="15" t="s">
        <v>329</v>
      </c>
      <c r="C88" s="15" t="s">
        <v>333</v>
      </c>
      <c r="D88" s="15" t="s">
        <v>332</v>
      </c>
      <c r="E88" s="15" t="s">
        <v>323</v>
      </c>
      <c r="F88" s="15" t="s">
        <v>334</v>
      </c>
      <c r="G88" s="69">
        <v>15.1</v>
      </c>
      <c r="H88" s="15" t="s">
        <v>326</v>
      </c>
      <c r="I88" s="15" t="s">
        <v>322</v>
      </c>
      <c r="J88" s="62" t="s">
        <v>295</v>
      </c>
      <c r="K88" s="62" t="s">
        <v>7</v>
      </c>
    </row>
    <row r="89" spans="1:11" x14ac:dyDescent="0.4">
      <c r="A89" s="62" t="s">
        <v>381</v>
      </c>
      <c r="B89" s="15" t="s">
        <v>329</v>
      </c>
      <c r="C89" s="15" t="s">
        <v>333</v>
      </c>
      <c r="D89" s="15" t="s">
        <v>332</v>
      </c>
      <c r="E89" s="15" t="s">
        <v>323</v>
      </c>
      <c r="F89" s="15" t="s">
        <v>334</v>
      </c>
      <c r="G89" s="69">
        <v>1.1000000000000001</v>
      </c>
      <c r="H89" s="15" t="s">
        <v>326</v>
      </c>
      <c r="I89" s="15" t="s">
        <v>322</v>
      </c>
      <c r="J89" s="62" t="s">
        <v>296</v>
      </c>
      <c r="K89" s="62" t="s">
        <v>324</v>
      </c>
    </row>
    <row r="90" spans="1:11" x14ac:dyDescent="0.4">
      <c r="A90" s="62" t="s">
        <v>382</v>
      </c>
      <c r="B90" s="15" t="s">
        <v>329</v>
      </c>
      <c r="C90" s="15" t="s">
        <v>333</v>
      </c>
      <c r="D90" s="15" t="s">
        <v>332</v>
      </c>
      <c r="E90" s="15" t="s">
        <v>323</v>
      </c>
      <c r="F90" s="15" t="s">
        <v>334</v>
      </c>
      <c r="G90" s="69">
        <v>12.5</v>
      </c>
      <c r="H90" s="15" t="s">
        <v>326</v>
      </c>
      <c r="I90" s="15" t="s">
        <v>322</v>
      </c>
      <c r="J90" s="62" t="s">
        <v>297</v>
      </c>
      <c r="K90" s="62" t="s">
        <v>7</v>
      </c>
    </row>
    <row r="91" spans="1:11" x14ac:dyDescent="0.4">
      <c r="A91" s="62" t="s">
        <v>383</v>
      </c>
      <c r="B91" s="15" t="s">
        <v>329</v>
      </c>
      <c r="C91" s="15" t="s">
        <v>333</v>
      </c>
      <c r="D91" s="15" t="s">
        <v>332</v>
      </c>
      <c r="E91" s="15" t="s">
        <v>323</v>
      </c>
      <c r="F91" s="15" t="s">
        <v>334</v>
      </c>
      <c r="G91" s="69">
        <v>5.7</v>
      </c>
      <c r="H91" s="15" t="s">
        <v>326</v>
      </c>
      <c r="I91" s="15" t="s">
        <v>322</v>
      </c>
      <c r="J91" s="62" t="s">
        <v>298</v>
      </c>
      <c r="K91" s="62" t="s">
        <v>324</v>
      </c>
    </row>
    <row r="92" spans="1:11" x14ac:dyDescent="0.4">
      <c r="A92" s="62" t="s">
        <v>384</v>
      </c>
      <c r="B92" s="15" t="s">
        <v>329</v>
      </c>
      <c r="C92" s="15" t="s">
        <v>333</v>
      </c>
      <c r="D92" s="15" t="s">
        <v>332</v>
      </c>
      <c r="E92" s="15" t="s">
        <v>323</v>
      </c>
      <c r="F92" s="15" t="s">
        <v>334</v>
      </c>
      <c r="G92" s="69">
        <v>2110</v>
      </c>
      <c r="H92" s="15" t="s">
        <v>326</v>
      </c>
      <c r="I92" s="15" t="s">
        <v>322</v>
      </c>
      <c r="J92" s="62" t="s">
        <v>259</v>
      </c>
      <c r="K92" s="62" t="s">
        <v>7</v>
      </c>
    </row>
    <row r="93" spans="1:11" x14ac:dyDescent="0.4">
      <c r="A93" s="62" t="s">
        <v>385</v>
      </c>
      <c r="B93" s="15" t="s">
        <v>329</v>
      </c>
      <c r="C93" s="15" t="s">
        <v>333</v>
      </c>
      <c r="D93" s="15" t="s">
        <v>332</v>
      </c>
      <c r="E93" s="15" t="s">
        <v>323</v>
      </c>
      <c r="F93" s="15" t="s">
        <v>334</v>
      </c>
      <c r="G93" s="69">
        <v>35100</v>
      </c>
      <c r="H93" s="15" t="s">
        <v>326</v>
      </c>
      <c r="I93" s="15" t="s">
        <v>322</v>
      </c>
      <c r="J93" s="62" t="s">
        <v>260</v>
      </c>
      <c r="K93" s="62" t="s">
        <v>324</v>
      </c>
    </row>
    <row r="94" spans="1:11" x14ac:dyDescent="0.4">
      <c r="A94" s="62" t="s">
        <v>386</v>
      </c>
      <c r="B94" s="15" t="s">
        <v>329</v>
      </c>
      <c r="C94" s="15" t="s">
        <v>333</v>
      </c>
      <c r="D94" s="15" t="s">
        <v>332</v>
      </c>
      <c r="E94" s="15" t="s">
        <v>323</v>
      </c>
      <c r="F94" s="15" t="s">
        <v>334</v>
      </c>
      <c r="G94" s="69">
        <v>3880</v>
      </c>
      <c r="H94" s="15" t="s">
        <v>326</v>
      </c>
      <c r="I94" s="15" t="s">
        <v>322</v>
      </c>
      <c r="J94" s="62" t="s">
        <v>261</v>
      </c>
      <c r="K94" s="62" t="s">
        <v>324</v>
      </c>
    </row>
    <row r="95" spans="1:11" x14ac:dyDescent="0.4">
      <c r="A95" s="62" t="s">
        <v>387</v>
      </c>
      <c r="B95" s="15" t="s">
        <v>329</v>
      </c>
      <c r="C95" s="15" t="s">
        <v>333</v>
      </c>
      <c r="D95" s="15" t="s">
        <v>332</v>
      </c>
      <c r="E95" s="15" t="s">
        <v>323</v>
      </c>
      <c r="F95" s="15" t="s">
        <v>334</v>
      </c>
      <c r="G95" s="69">
        <v>196</v>
      </c>
      <c r="H95" s="15" t="s">
        <v>326</v>
      </c>
      <c r="I95" s="15" t="s">
        <v>322</v>
      </c>
      <c r="J95" s="62" t="s">
        <v>262</v>
      </c>
      <c r="K95" s="62" t="s">
        <v>324</v>
      </c>
    </row>
    <row r="96" spans="1:11" x14ac:dyDescent="0.4">
      <c r="A96" s="62" t="s">
        <v>388</v>
      </c>
      <c r="B96" s="15" t="s">
        <v>329</v>
      </c>
      <c r="C96" s="15" t="s">
        <v>333</v>
      </c>
      <c r="D96" s="15" t="s">
        <v>332</v>
      </c>
      <c r="E96" s="15" t="s">
        <v>323</v>
      </c>
      <c r="F96" s="15" t="s">
        <v>334</v>
      </c>
      <c r="G96" s="69">
        <v>3</v>
      </c>
      <c r="H96" s="15" t="s">
        <v>326</v>
      </c>
      <c r="I96" s="15" t="s">
        <v>322</v>
      </c>
      <c r="J96" s="62" t="s">
        <v>299</v>
      </c>
      <c r="K96" s="62" t="s">
        <v>324</v>
      </c>
    </row>
    <row r="97" spans="1:11" x14ac:dyDescent="0.4">
      <c r="A97" s="62" t="s">
        <v>389</v>
      </c>
      <c r="B97" s="15" t="s">
        <v>329</v>
      </c>
      <c r="C97" s="15" t="s">
        <v>333</v>
      </c>
      <c r="D97" s="15" t="s">
        <v>332</v>
      </c>
      <c r="E97" s="15" t="s">
        <v>323</v>
      </c>
      <c r="F97" s="15" t="s">
        <v>334</v>
      </c>
      <c r="G97" s="69">
        <v>102</v>
      </c>
      <c r="H97" s="15" t="s">
        <v>326</v>
      </c>
      <c r="I97" s="15" t="s">
        <v>322</v>
      </c>
      <c r="J97" s="62" t="s">
        <v>300</v>
      </c>
      <c r="K97" s="62" t="s">
        <v>324</v>
      </c>
    </row>
    <row r="98" spans="1:11" x14ac:dyDescent="0.4">
      <c r="A98" s="62" t="s">
        <v>390</v>
      </c>
      <c r="B98" s="15" t="s">
        <v>329</v>
      </c>
      <c r="C98" s="15" t="s">
        <v>333</v>
      </c>
      <c r="D98" s="15" t="s">
        <v>332</v>
      </c>
      <c r="E98" s="15" t="s">
        <v>323</v>
      </c>
      <c r="F98" s="15" t="s">
        <v>334</v>
      </c>
      <c r="G98" s="69">
        <v>17.100000000000001</v>
      </c>
      <c r="H98" s="15" t="s">
        <v>326</v>
      </c>
      <c r="I98" s="15" t="s">
        <v>322</v>
      </c>
      <c r="J98" s="62" t="s">
        <v>301</v>
      </c>
      <c r="K98" s="62" t="s">
        <v>324</v>
      </c>
    </row>
    <row r="99" spans="1:11" x14ac:dyDescent="0.4">
      <c r="A99" s="62" t="s">
        <v>391</v>
      </c>
      <c r="B99" s="15" t="s">
        <v>329</v>
      </c>
      <c r="C99" s="15" t="s">
        <v>333</v>
      </c>
      <c r="D99" s="15" t="s">
        <v>332</v>
      </c>
      <c r="E99" s="15" t="s">
        <v>323</v>
      </c>
      <c r="F99" s="15" t="s">
        <v>334</v>
      </c>
      <c r="G99" s="69">
        <v>12.9</v>
      </c>
      <c r="H99" s="15" t="s">
        <v>326</v>
      </c>
      <c r="I99" s="15" t="s">
        <v>322</v>
      </c>
      <c r="J99" s="62" t="s">
        <v>302</v>
      </c>
      <c r="K99" s="62" t="s">
        <v>324</v>
      </c>
    </row>
    <row r="100" spans="1:11" x14ac:dyDescent="0.4">
      <c r="A100" s="62" t="s">
        <v>392</v>
      </c>
      <c r="B100" s="15" t="s">
        <v>329</v>
      </c>
      <c r="C100" s="15" t="s">
        <v>333</v>
      </c>
      <c r="D100" s="15" t="s">
        <v>332</v>
      </c>
      <c r="E100" s="15" t="s">
        <v>323</v>
      </c>
      <c r="F100" s="15" t="s">
        <v>334</v>
      </c>
      <c r="G100" s="69">
        <v>21.9</v>
      </c>
      <c r="H100" s="15" t="s">
        <v>326</v>
      </c>
      <c r="I100" s="15" t="s">
        <v>322</v>
      </c>
      <c r="J100" s="62" t="s">
        <v>303</v>
      </c>
      <c r="K100" s="62" t="s">
        <v>324</v>
      </c>
    </row>
    <row r="101" spans="1:11" x14ac:dyDescent="0.4">
      <c r="A101" s="62" t="s">
        <v>393</v>
      </c>
      <c r="B101" s="15" t="s">
        <v>329</v>
      </c>
      <c r="C101" s="15" t="s">
        <v>333</v>
      </c>
      <c r="D101" s="15" t="s">
        <v>332</v>
      </c>
      <c r="E101" s="15" t="s">
        <v>323</v>
      </c>
      <c r="F101" s="15" t="s">
        <v>334</v>
      </c>
      <c r="G101" s="69">
        <v>0.2</v>
      </c>
      <c r="H101" s="15" t="s">
        <v>326</v>
      </c>
      <c r="I101" s="15" t="s">
        <v>322</v>
      </c>
      <c r="J101" s="62" t="s">
        <v>304</v>
      </c>
      <c r="K101" s="62" t="s">
        <v>324</v>
      </c>
    </row>
    <row r="102" spans="1:11" x14ac:dyDescent="0.4">
      <c r="A102" s="62" t="s">
        <v>394</v>
      </c>
      <c r="B102" s="15" t="s">
        <v>329</v>
      </c>
      <c r="C102" s="15" t="s">
        <v>333</v>
      </c>
      <c r="D102" s="15" t="s">
        <v>332</v>
      </c>
      <c r="E102" s="15" t="s">
        <v>323</v>
      </c>
      <c r="F102" s="15" t="s">
        <v>334</v>
      </c>
      <c r="G102" s="69">
        <v>11</v>
      </c>
      <c r="H102" s="15" t="s">
        <v>326</v>
      </c>
      <c r="I102" s="15" t="s">
        <v>322</v>
      </c>
      <c r="J102" s="62" t="s">
        <v>305</v>
      </c>
      <c r="K102" s="62" t="s">
        <v>324</v>
      </c>
    </row>
    <row r="103" spans="1:11" x14ac:dyDescent="0.4">
      <c r="A103" s="62" t="s">
        <v>395</v>
      </c>
      <c r="B103" s="15" t="s">
        <v>329</v>
      </c>
      <c r="C103" s="15" t="s">
        <v>333</v>
      </c>
      <c r="D103" s="15" t="s">
        <v>332</v>
      </c>
      <c r="E103" s="15" t="s">
        <v>323</v>
      </c>
      <c r="F103" s="15" t="s">
        <v>334</v>
      </c>
      <c r="G103" s="69">
        <v>12.9</v>
      </c>
      <c r="H103" s="15" t="s">
        <v>326</v>
      </c>
      <c r="I103" s="15" t="s">
        <v>322</v>
      </c>
      <c r="J103" s="62" t="s">
        <v>306</v>
      </c>
      <c r="K103" s="62" t="s">
        <v>324</v>
      </c>
    </row>
    <row r="104" spans="1:11" x14ac:dyDescent="0.4">
      <c r="A104" s="62" t="s">
        <v>396</v>
      </c>
      <c r="B104" s="15" t="s">
        <v>329</v>
      </c>
      <c r="C104" s="15" t="s">
        <v>333</v>
      </c>
      <c r="D104" s="15" t="s">
        <v>332</v>
      </c>
      <c r="E104" s="15" t="s">
        <v>323</v>
      </c>
      <c r="F104" s="15" t="s">
        <v>334</v>
      </c>
      <c r="G104" s="69">
        <v>19.2</v>
      </c>
      <c r="H104" s="15" t="s">
        <v>326</v>
      </c>
      <c r="I104" s="15" t="s">
        <v>322</v>
      </c>
      <c r="J104" s="62" t="s">
        <v>307</v>
      </c>
      <c r="K104" s="62" t="s">
        <v>324</v>
      </c>
    </row>
    <row r="105" spans="1:11" x14ac:dyDescent="0.4">
      <c r="A105" s="62" t="s">
        <v>397</v>
      </c>
      <c r="B105" s="15" t="s">
        <v>329</v>
      </c>
      <c r="C105" s="15" t="s">
        <v>333</v>
      </c>
      <c r="D105" s="15" t="s">
        <v>332</v>
      </c>
      <c r="E105" s="15" t="s">
        <v>323</v>
      </c>
      <c r="F105" s="15" t="s">
        <v>334</v>
      </c>
      <c r="G105" s="69">
        <v>17.600000000000001</v>
      </c>
      <c r="H105" s="15" t="s">
        <v>326</v>
      </c>
      <c r="I105" s="15" t="s">
        <v>322</v>
      </c>
      <c r="J105" s="62" t="s">
        <v>308</v>
      </c>
      <c r="K105" s="62" t="s">
        <v>324</v>
      </c>
    </row>
    <row r="106" spans="1:11" x14ac:dyDescent="0.4">
      <c r="A106" s="62" t="s">
        <v>398</v>
      </c>
      <c r="B106" s="15" t="s">
        <v>329</v>
      </c>
      <c r="C106" s="15" t="s">
        <v>333</v>
      </c>
      <c r="D106" s="15" t="s">
        <v>332</v>
      </c>
      <c r="E106" s="15" t="s">
        <v>323</v>
      </c>
      <c r="F106" s="15" t="s">
        <v>334</v>
      </c>
      <c r="G106" s="69">
        <v>59.1</v>
      </c>
      <c r="H106" s="15" t="s">
        <v>326</v>
      </c>
      <c r="I106" s="15" t="s">
        <v>322</v>
      </c>
      <c r="J106" s="62" t="s">
        <v>309</v>
      </c>
      <c r="K106" s="62" t="s">
        <v>324</v>
      </c>
    </row>
    <row r="107" spans="1:11" x14ac:dyDescent="0.4">
      <c r="A107" s="62" t="s">
        <v>399</v>
      </c>
      <c r="B107" s="15" t="s">
        <v>329</v>
      </c>
      <c r="C107" s="15" t="s">
        <v>333</v>
      </c>
      <c r="D107" s="15" t="s">
        <v>332</v>
      </c>
      <c r="E107" s="15" t="s">
        <v>323</v>
      </c>
      <c r="F107" s="15" t="s">
        <v>334</v>
      </c>
      <c r="G107" s="69">
        <v>395</v>
      </c>
      <c r="H107" s="15" t="s">
        <v>326</v>
      </c>
      <c r="I107" s="15" t="s">
        <v>322</v>
      </c>
      <c r="J107" s="62" t="s">
        <v>263</v>
      </c>
      <c r="K107" s="62" t="s">
        <v>324</v>
      </c>
    </row>
    <row r="108" spans="1:11" x14ac:dyDescent="0.4">
      <c r="A108" s="62" t="s">
        <v>400</v>
      </c>
      <c r="B108" s="15" t="s">
        <v>329</v>
      </c>
      <c r="C108" s="15" t="s">
        <v>333</v>
      </c>
      <c r="D108" s="15" t="s">
        <v>332</v>
      </c>
      <c r="E108" s="15" t="s">
        <v>323</v>
      </c>
      <c r="F108" s="15" t="s">
        <v>334</v>
      </c>
      <c r="G108" s="69">
        <v>46.6</v>
      </c>
      <c r="H108" s="15" t="s">
        <v>326</v>
      </c>
      <c r="I108" s="15" t="s">
        <v>322</v>
      </c>
      <c r="J108" s="62" t="s">
        <v>310</v>
      </c>
      <c r="K108" s="62" t="s">
        <v>324</v>
      </c>
    </row>
    <row r="109" spans="1:11" x14ac:dyDescent="0.4">
      <c r="A109" s="62" t="s">
        <v>401</v>
      </c>
      <c r="B109" s="15" t="s">
        <v>329</v>
      </c>
      <c r="C109" s="15" t="s">
        <v>333</v>
      </c>
      <c r="D109" s="15" t="s">
        <v>332</v>
      </c>
      <c r="E109" s="15" t="s">
        <v>323</v>
      </c>
      <c r="F109" s="15" t="s">
        <v>334</v>
      </c>
      <c r="G109" s="69">
        <v>297</v>
      </c>
      <c r="H109" s="15" t="s">
        <v>326</v>
      </c>
      <c r="I109" s="15" t="s">
        <v>322</v>
      </c>
      <c r="J109" s="62" t="s">
        <v>264</v>
      </c>
      <c r="K109" s="62" t="s">
        <v>7</v>
      </c>
    </row>
    <row r="110" spans="1:11" x14ac:dyDescent="0.4">
      <c r="A110" s="62" t="s">
        <v>402</v>
      </c>
      <c r="B110" s="15" t="s">
        <v>329</v>
      </c>
      <c r="C110" s="15" t="s">
        <v>333</v>
      </c>
      <c r="D110" s="15" t="s">
        <v>332</v>
      </c>
      <c r="E110" s="15" t="s">
        <v>323</v>
      </c>
      <c r="F110" s="15" t="s">
        <v>334</v>
      </c>
      <c r="G110" s="69">
        <v>59.6</v>
      </c>
      <c r="H110" s="15" t="s">
        <v>326</v>
      </c>
      <c r="I110" s="15" t="s">
        <v>322</v>
      </c>
      <c r="J110" s="62" t="s">
        <v>311</v>
      </c>
      <c r="K110" s="62" t="s">
        <v>7</v>
      </c>
    </row>
    <row r="111" spans="1:11" x14ac:dyDescent="0.4">
      <c r="A111" s="62" t="s">
        <v>403</v>
      </c>
      <c r="B111" s="15" t="s">
        <v>329</v>
      </c>
      <c r="C111" s="15" t="s">
        <v>333</v>
      </c>
      <c r="D111" s="15" t="s">
        <v>332</v>
      </c>
      <c r="E111" s="15" t="s">
        <v>323</v>
      </c>
      <c r="F111" s="15" t="s">
        <v>334</v>
      </c>
      <c r="G111" s="69">
        <v>226</v>
      </c>
      <c r="H111" s="15" t="s">
        <v>326</v>
      </c>
      <c r="I111" s="15" t="s">
        <v>322</v>
      </c>
      <c r="J111" s="62" t="s">
        <v>265</v>
      </c>
      <c r="K111" s="62" t="s">
        <v>7</v>
      </c>
    </row>
    <row r="112" spans="1:11" x14ac:dyDescent="0.4">
      <c r="A112" s="62" t="s">
        <v>404</v>
      </c>
      <c r="B112" s="15" t="s">
        <v>329</v>
      </c>
      <c r="C112" s="15" t="s">
        <v>333</v>
      </c>
      <c r="D112" s="15" t="s">
        <v>332</v>
      </c>
      <c r="E112" s="15" t="s">
        <v>323</v>
      </c>
      <c r="F112" s="15" t="s">
        <v>334</v>
      </c>
      <c r="G112" s="69">
        <v>48.7</v>
      </c>
      <c r="H112" s="15" t="s">
        <v>326</v>
      </c>
      <c r="I112" s="15" t="s">
        <v>322</v>
      </c>
      <c r="J112" s="62" t="s">
        <v>312</v>
      </c>
      <c r="K112" s="62" t="s">
        <v>7</v>
      </c>
    </row>
    <row r="113" spans="1:11" x14ac:dyDescent="0.4">
      <c r="A113" s="62" t="s">
        <v>405</v>
      </c>
      <c r="B113" s="15" t="s">
        <v>329</v>
      </c>
      <c r="C113" s="15" t="s">
        <v>333</v>
      </c>
      <c r="D113" s="15" t="s">
        <v>332</v>
      </c>
      <c r="E113" s="15" t="s">
        <v>323</v>
      </c>
      <c r="F113" s="15" t="s">
        <v>334</v>
      </c>
      <c r="G113" s="69">
        <v>649</v>
      </c>
      <c r="H113" s="15" t="s">
        <v>326</v>
      </c>
      <c r="I113" s="15" t="s">
        <v>322</v>
      </c>
      <c r="J113" s="62" t="s">
        <v>266</v>
      </c>
      <c r="K113" s="62" t="s">
        <v>7</v>
      </c>
    </row>
    <row r="114" spans="1:11" x14ac:dyDescent="0.4">
      <c r="A114" s="62" t="s">
        <v>406</v>
      </c>
      <c r="B114" s="15" t="s">
        <v>329</v>
      </c>
      <c r="C114" s="15" t="s">
        <v>333</v>
      </c>
      <c r="D114" s="15" t="s">
        <v>332</v>
      </c>
      <c r="E114" s="15" t="s">
        <v>323</v>
      </c>
      <c r="F114" s="15" t="s">
        <v>334</v>
      </c>
      <c r="G114" s="69">
        <v>125</v>
      </c>
      <c r="H114" s="15" t="s">
        <v>326</v>
      </c>
      <c r="I114" s="15" t="s">
        <v>322</v>
      </c>
      <c r="J114" s="62" t="s">
        <v>313</v>
      </c>
      <c r="K114" s="62" t="s">
        <v>7</v>
      </c>
    </row>
    <row r="115" spans="1:11" x14ac:dyDescent="0.4">
      <c r="A115" s="62" t="s">
        <v>407</v>
      </c>
      <c r="B115" s="15" t="s">
        <v>329</v>
      </c>
      <c r="C115" s="15" t="s">
        <v>333</v>
      </c>
      <c r="D115" s="15" t="s">
        <v>332</v>
      </c>
      <c r="E115" s="15" t="s">
        <v>323</v>
      </c>
      <c r="F115" s="15" t="s">
        <v>334</v>
      </c>
      <c r="G115" s="69">
        <v>896</v>
      </c>
      <c r="H115" s="15" t="s">
        <v>326</v>
      </c>
      <c r="I115" s="15" t="s">
        <v>322</v>
      </c>
      <c r="J115" s="62" t="s">
        <v>267</v>
      </c>
      <c r="K115" s="62" t="s">
        <v>7</v>
      </c>
    </row>
    <row r="116" spans="1:11" x14ac:dyDescent="0.4">
      <c r="A116" s="62" t="s">
        <v>408</v>
      </c>
      <c r="B116" s="15" t="s">
        <v>329</v>
      </c>
      <c r="C116" s="15" t="s">
        <v>333</v>
      </c>
      <c r="D116" s="15" t="s">
        <v>332</v>
      </c>
      <c r="E116" s="15" t="s">
        <v>323</v>
      </c>
      <c r="F116" s="15" t="s">
        <v>334</v>
      </c>
      <c r="G116" s="69">
        <v>131</v>
      </c>
      <c r="H116" s="15" t="s">
        <v>326</v>
      </c>
      <c r="I116" s="15" t="s">
        <v>322</v>
      </c>
      <c r="J116" s="62" t="s">
        <v>268</v>
      </c>
      <c r="K116" s="62" t="s">
        <v>7</v>
      </c>
    </row>
    <row r="117" spans="1:11" x14ac:dyDescent="0.4">
      <c r="A117" s="62" t="s">
        <v>409</v>
      </c>
      <c r="B117" s="15" t="s">
        <v>329</v>
      </c>
      <c r="C117" s="15" t="s">
        <v>333</v>
      </c>
      <c r="D117" s="15" t="s">
        <v>332</v>
      </c>
      <c r="E117" s="15" t="s">
        <v>323</v>
      </c>
      <c r="F117" s="15" t="s">
        <v>334</v>
      </c>
      <c r="G117" s="69">
        <v>260</v>
      </c>
      <c r="H117" s="15" t="s">
        <v>326</v>
      </c>
      <c r="I117" s="15" t="s">
        <v>322</v>
      </c>
      <c r="J117" s="62" t="s">
        <v>269</v>
      </c>
      <c r="K117" s="62" t="s">
        <v>7</v>
      </c>
    </row>
    <row r="118" spans="1:11" x14ac:dyDescent="0.4">
      <c r="A118" s="62" t="s">
        <v>410</v>
      </c>
      <c r="B118" s="15" t="s">
        <v>329</v>
      </c>
      <c r="C118" s="15" t="s">
        <v>333</v>
      </c>
      <c r="D118" s="15" t="s">
        <v>332</v>
      </c>
      <c r="E118" s="15" t="s">
        <v>323</v>
      </c>
      <c r="F118" s="15" t="s">
        <v>334</v>
      </c>
      <c r="G118" s="69">
        <v>12.6</v>
      </c>
      <c r="H118" s="15" t="s">
        <v>326</v>
      </c>
      <c r="I118" s="15" t="s">
        <v>322</v>
      </c>
      <c r="J118" s="62" t="s">
        <v>314</v>
      </c>
      <c r="K118" s="62" t="s">
        <v>7</v>
      </c>
    </row>
    <row r="119" spans="1:11" x14ac:dyDescent="0.4">
      <c r="A119" s="62" t="s">
        <v>1</v>
      </c>
      <c r="B119" s="15" t="s">
        <v>329</v>
      </c>
      <c r="C119" s="15" t="s">
        <v>333</v>
      </c>
      <c r="D119" s="15" t="s">
        <v>332</v>
      </c>
      <c r="E119" s="15" t="s">
        <v>323</v>
      </c>
      <c r="F119" s="15" t="s">
        <v>334</v>
      </c>
      <c r="G119" s="69">
        <v>450</v>
      </c>
      <c r="H119" s="15" t="s">
        <v>326</v>
      </c>
      <c r="I119" s="15" t="s">
        <v>322</v>
      </c>
      <c r="J119" s="62" t="s">
        <v>270</v>
      </c>
      <c r="K119" s="62" t="s">
        <v>7</v>
      </c>
    </row>
    <row r="120" spans="1:11" x14ac:dyDescent="0.4">
      <c r="A120" s="62" t="s">
        <v>411</v>
      </c>
      <c r="B120" s="15" t="s">
        <v>329</v>
      </c>
      <c r="C120" s="15" t="s">
        <v>333</v>
      </c>
      <c r="D120" s="15" t="s">
        <v>332</v>
      </c>
      <c r="E120" s="15" t="s">
        <v>323</v>
      </c>
      <c r="F120" s="15" t="s">
        <v>334</v>
      </c>
      <c r="G120" s="69">
        <v>4560</v>
      </c>
      <c r="H120" s="15" t="s">
        <v>326</v>
      </c>
      <c r="I120" s="15" t="s">
        <v>322</v>
      </c>
      <c r="J120" s="62" t="s">
        <v>271</v>
      </c>
      <c r="K120" s="62" t="s">
        <v>7</v>
      </c>
    </row>
    <row r="121" spans="1:11" x14ac:dyDescent="0.4">
      <c r="A121" s="62" t="s">
        <v>412</v>
      </c>
      <c r="B121" s="15" t="s">
        <v>329</v>
      </c>
      <c r="C121" s="15" t="s">
        <v>333</v>
      </c>
      <c r="D121" s="15" t="s">
        <v>332</v>
      </c>
      <c r="E121" s="15" t="s">
        <v>323</v>
      </c>
      <c r="F121" s="15" t="s">
        <v>334</v>
      </c>
      <c r="G121" s="69">
        <v>8860</v>
      </c>
      <c r="H121" s="15" t="s">
        <v>326</v>
      </c>
      <c r="I121" s="15" t="s">
        <v>322</v>
      </c>
      <c r="J121" s="62" t="s">
        <v>272</v>
      </c>
      <c r="K121" s="62" t="s">
        <v>7</v>
      </c>
    </row>
    <row r="122" spans="1:11" x14ac:dyDescent="0.4">
      <c r="A122" s="62" t="s">
        <v>413</v>
      </c>
      <c r="B122" s="15" t="s">
        <v>329</v>
      </c>
      <c r="C122" s="15" t="s">
        <v>333</v>
      </c>
      <c r="D122" s="15" t="s">
        <v>332</v>
      </c>
      <c r="E122" s="15" t="s">
        <v>323</v>
      </c>
      <c r="F122" s="15" t="s">
        <v>334</v>
      </c>
      <c r="G122" s="69">
        <v>12500</v>
      </c>
      <c r="H122" s="15" t="s">
        <v>326</v>
      </c>
      <c r="I122" s="15" t="s">
        <v>322</v>
      </c>
      <c r="J122" s="62" t="s">
        <v>273</v>
      </c>
      <c r="K122" s="62" t="s">
        <v>324</v>
      </c>
    </row>
    <row r="123" spans="1:11" x14ac:dyDescent="0.4">
      <c r="A123" s="62" t="s">
        <v>414</v>
      </c>
      <c r="B123" s="15" t="s">
        <v>329</v>
      </c>
      <c r="C123" s="15" t="s">
        <v>333</v>
      </c>
      <c r="D123" s="15" t="s">
        <v>332</v>
      </c>
      <c r="E123" s="15" t="s">
        <v>323</v>
      </c>
      <c r="F123" s="15" t="s">
        <v>334</v>
      </c>
      <c r="G123" s="69">
        <v>12500</v>
      </c>
      <c r="H123" s="15" t="s">
        <v>326</v>
      </c>
      <c r="I123" s="15" t="s">
        <v>322</v>
      </c>
      <c r="J123" s="62" t="s">
        <v>274</v>
      </c>
      <c r="K123" s="62" t="s">
        <v>324</v>
      </c>
    </row>
    <row r="124" spans="1:11" x14ac:dyDescent="0.4">
      <c r="A124" s="62" t="s">
        <v>415</v>
      </c>
      <c r="B124" s="15" t="s">
        <v>329</v>
      </c>
      <c r="C124" s="15" t="s">
        <v>333</v>
      </c>
      <c r="D124" s="15" t="s">
        <v>332</v>
      </c>
      <c r="E124" s="15" t="s">
        <v>323</v>
      </c>
      <c r="F124" s="15" t="s">
        <v>334</v>
      </c>
      <c r="G124" s="69">
        <v>12.1</v>
      </c>
      <c r="H124" s="15" t="s">
        <v>326</v>
      </c>
      <c r="I124" s="15" t="s">
        <v>322</v>
      </c>
      <c r="J124" s="62" t="s">
        <v>315</v>
      </c>
      <c r="K124" s="62" t="s">
        <v>324</v>
      </c>
    </row>
    <row r="125" spans="1:11" x14ac:dyDescent="0.4">
      <c r="A125" s="62" t="s">
        <v>416</v>
      </c>
      <c r="B125" s="15" t="s">
        <v>329</v>
      </c>
      <c r="C125" s="15" t="s">
        <v>333</v>
      </c>
      <c r="D125" s="15" t="s">
        <v>332</v>
      </c>
      <c r="E125" s="15" t="s">
        <v>323</v>
      </c>
      <c r="F125" s="15" t="s">
        <v>334</v>
      </c>
      <c r="G125" s="69">
        <v>376</v>
      </c>
      <c r="H125" s="15" t="s">
        <v>326</v>
      </c>
      <c r="I125" s="15" t="s">
        <v>322</v>
      </c>
      <c r="J125" s="62" t="s">
        <v>275</v>
      </c>
      <c r="K125" s="62" t="s">
        <v>324</v>
      </c>
    </row>
    <row r="126" spans="1:11" x14ac:dyDescent="0.4">
      <c r="A126" s="62" t="s">
        <v>417</v>
      </c>
      <c r="B126" s="15" t="s">
        <v>329</v>
      </c>
      <c r="C126" s="15" t="s">
        <v>333</v>
      </c>
      <c r="D126" s="15" t="s">
        <v>332</v>
      </c>
      <c r="E126" s="15" t="s">
        <v>323</v>
      </c>
      <c r="F126" s="15" t="s">
        <v>334</v>
      </c>
      <c r="G126" s="69">
        <v>1.3</v>
      </c>
      <c r="H126" s="15" t="s">
        <v>326</v>
      </c>
      <c r="I126" s="15" t="s">
        <v>322</v>
      </c>
      <c r="J126" s="62" t="s">
        <v>316</v>
      </c>
      <c r="K126" s="62" t="s">
        <v>324</v>
      </c>
    </row>
    <row r="127" spans="1:11" x14ac:dyDescent="0.4">
      <c r="A127" s="62" t="s">
        <v>418</v>
      </c>
      <c r="B127" s="15" t="s">
        <v>329</v>
      </c>
      <c r="C127" s="15" t="s">
        <v>333</v>
      </c>
      <c r="D127" s="15" t="s">
        <v>332</v>
      </c>
      <c r="E127" s="15" t="s">
        <v>323</v>
      </c>
      <c r="F127" s="15" t="s">
        <v>334</v>
      </c>
      <c r="G127" s="69">
        <v>58.9</v>
      </c>
      <c r="H127" s="15" t="s">
        <v>326</v>
      </c>
      <c r="I127" s="15" t="s">
        <v>322</v>
      </c>
      <c r="J127" s="62" t="s">
        <v>317</v>
      </c>
      <c r="K127" s="62" t="s">
        <v>2</v>
      </c>
    </row>
    <row r="128" spans="1:11" x14ac:dyDescent="0.4">
      <c r="A128" s="62" t="s">
        <v>419</v>
      </c>
      <c r="B128" s="15" t="s">
        <v>329</v>
      </c>
      <c r="C128" s="15" t="s">
        <v>333</v>
      </c>
      <c r="D128" s="15" t="s">
        <v>332</v>
      </c>
      <c r="E128" s="15" t="s">
        <v>323</v>
      </c>
      <c r="F128" s="15" t="s">
        <v>334</v>
      </c>
      <c r="G128" s="69">
        <v>74.900000000000006</v>
      </c>
      <c r="H128" s="15" t="s">
        <v>326</v>
      </c>
      <c r="I128" s="15" t="s">
        <v>322</v>
      </c>
      <c r="J128" s="62" t="s">
        <v>318</v>
      </c>
      <c r="K128" s="62" t="s">
        <v>324</v>
      </c>
    </row>
    <row r="129" spans="1:11" x14ac:dyDescent="0.4">
      <c r="A129" s="62" t="s">
        <v>420</v>
      </c>
      <c r="B129" s="15" t="s">
        <v>329</v>
      </c>
      <c r="C129" s="15" t="s">
        <v>333</v>
      </c>
      <c r="D129" s="15" t="s">
        <v>332</v>
      </c>
      <c r="E129" s="15" t="s">
        <v>323</v>
      </c>
      <c r="F129" s="15" t="s">
        <v>334</v>
      </c>
      <c r="G129" s="69">
        <v>90.7</v>
      </c>
      <c r="H129" s="15" t="s">
        <v>326</v>
      </c>
      <c r="I129" s="15" t="s">
        <v>322</v>
      </c>
      <c r="J129" s="62" t="s">
        <v>319</v>
      </c>
      <c r="K129" s="62" t="s">
        <v>324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29BE-D345-4ACC-931E-AB8B56FEE673}">
  <dimension ref="A1"/>
  <sheetViews>
    <sheetView workbookViewId="0">
      <selection activeCell="C32" sqref="C32"/>
    </sheetView>
  </sheetViews>
  <sheetFormatPr baseColWidth="10" defaultRowHeight="12.6" x14ac:dyDescent="0.4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zoomScale="85" zoomScaleNormal="85" workbookViewId="0">
      <selection activeCell="A73" sqref="A73"/>
    </sheetView>
  </sheetViews>
  <sheetFormatPr baseColWidth="10" defaultColWidth="9" defaultRowHeight="15" x14ac:dyDescent="0.45"/>
  <cols>
    <col min="1" max="1" width="17.17578125" style="66" customWidth="1"/>
    <col min="2" max="2" width="21" style="66" customWidth="1"/>
    <col min="3" max="3" width="18" style="66" customWidth="1"/>
    <col min="4" max="4" width="15.41015625" style="66" customWidth="1"/>
    <col min="5" max="5" width="14.8203125" style="66" customWidth="1"/>
    <col min="6" max="6" width="17.8203125" style="66" customWidth="1"/>
    <col min="7" max="7" width="20.8203125" style="66" customWidth="1"/>
    <col min="8" max="8" width="62" style="66" customWidth="1"/>
    <col min="9" max="10" width="22.05859375" style="62" bestFit="1" customWidth="1"/>
    <col min="11" max="11" width="22.5859375" style="62" customWidth="1"/>
    <col min="12" max="12" width="19.87890625" style="62" customWidth="1"/>
    <col min="13" max="16384" width="9" style="62"/>
  </cols>
  <sheetData>
    <row r="1" spans="1:12" ht="17.25" customHeight="1" x14ac:dyDescent="0.45">
      <c r="A1" s="90" t="s">
        <v>335</v>
      </c>
      <c r="B1" s="90"/>
      <c r="C1" s="90"/>
      <c r="D1" s="90"/>
      <c r="E1" s="90"/>
      <c r="F1" s="90"/>
      <c r="G1" s="90"/>
      <c r="H1" s="90"/>
    </row>
    <row r="2" spans="1:12" ht="36" customHeight="1" x14ac:dyDescent="0.5">
      <c r="A2" s="71" t="s">
        <v>0</v>
      </c>
      <c r="B2" s="63" t="s">
        <v>182</v>
      </c>
      <c r="C2" s="63" t="s">
        <v>183</v>
      </c>
      <c r="D2" s="63" t="s">
        <v>184</v>
      </c>
      <c r="E2" s="70" t="s">
        <v>325</v>
      </c>
      <c r="F2" s="63" t="s">
        <v>185</v>
      </c>
      <c r="G2" s="63" t="s">
        <v>186</v>
      </c>
      <c r="H2" s="64" t="s">
        <v>4</v>
      </c>
      <c r="I2" s="62" t="s">
        <v>188</v>
      </c>
      <c r="J2" s="62" t="s">
        <v>189</v>
      </c>
      <c r="K2" s="62" t="s">
        <v>190</v>
      </c>
      <c r="L2" s="62" t="s">
        <v>191</v>
      </c>
    </row>
    <row r="3" spans="1:12" ht="16.5" customHeight="1" x14ac:dyDescent="0.4">
      <c r="A3" s="15" t="s">
        <v>3</v>
      </c>
      <c r="B3" s="15">
        <v>67.5</v>
      </c>
      <c r="C3" s="15">
        <v>41.4</v>
      </c>
      <c r="D3" s="15">
        <v>103</v>
      </c>
      <c r="E3" s="15">
        <v>0.9</v>
      </c>
      <c r="F3" s="15">
        <v>0.6</v>
      </c>
      <c r="G3" s="15">
        <v>1.4</v>
      </c>
      <c r="H3" s="15" t="s">
        <v>187</v>
      </c>
      <c r="I3" s="62" t="str">
        <f>"27;"&amp;C3&amp;";"&amp;D3&amp;";none"</f>
        <v>27;41,4;103;none</v>
      </c>
      <c r="J3" s="62" t="s">
        <v>235</v>
      </c>
      <c r="K3" s="62" t="str">
        <f>"27;"&amp;F3&amp;";"&amp;G3&amp;";none"</f>
        <v>27;0,6;1,4;none</v>
      </c>
      <c r="L3" s="62" t="s">
        <v>276</v>
      </c>
    </row>
    <row r="4" spans="1:12" ht="16.3" customHeight="1" x14ac:dyDescent="0.4">
      <c r="A4" s="15" t="s">
        <v>5</v>
      </c>
      <c r="B4" s="15">
        <v>125</v>
      </c>
      <c r="C4" s="15">
        <v>94</v>
      </c>
      <c r="D4" s="15">
        <v>161</v>
      </c>
      <c r="E4" s="15">
        <v>7.1</v>
      </c>
      <c r="F4" s="15">
        <v>5.7</v>
      </c>
      <c r="G4" s="15">
        <v>8.9</v>
      </c>
      <c r="H4" s="15" t="s">
        <v>187</v>
      </c>
      <c r="I4" s="62" t="str">
        <f t="shared" ref="I4:I66" si="0">"27;"&amp;C4&amp;";"&amp;D4&amp;";none"</f>
        <v>27;94;161;none</v>
      </c>
      <c r="J4" s="62" t="s">
        <v>192</v>
      </c>
      <c r="K4" s="62" t="str">
        <f t="shared" ref="K4:K66" si="1">"27;"&amp;F4&amp;";"&amp;G4&amp;";none"</f>
        <v>27;5,7;8,9;none</v>
      </c>
      <c r="L4" s="62" t="s">
        <v>277</v>
      </c>
    </row>
    <row r="5" spans="1:12" ht="16.3" customHeight="1" x14ac:dyDescent="0.4">
      <c r="A5" s="15" t="s">
        <v>6</v>
      </c>
      <c r="B5" s="15">
        <v>1720</v>
      </c>
      <c r="C5" s="15">
        <v>1020</v>
      </c>
      <c r="D5" s="15">
        <v>3440</v>
      </c>
      <c r="E5" s="15">
        <v>122</v>
      </c>
      <c r="F5" s="15">
        <v>79.900000000000006</v>
      </c>
      <c r="G5" s="15">
        <v>191</v>
      </c>
      <c r="H5" s="62" t="s">
        <v>7</v>
      </c>
      <c r="I5" s="62" t="str">
        <f t="shared" si="0"/>
        <v>27;1020;3440;none</v>
      </c>
      <c r="J5" s="62" t="s">
        <v>193</v>
      </c>
      <c r="K5" s="62" t="str">
        <f t="shared" si="1"/>
        <v>27;79,9;191;none</v>
      </c>
      <c r="L5" s="62" t="s">
        <v>278</v>
      </c>
    </row>
    <row r="6" spans="1:12" ht="16.3" customHeight="1" x14ac:dyDescent="0.4">
      <c r="A6" s="15" t="s">
        <v>9</v>
      </c>
      <c r="B6" s="15">
        <v>27.3</v>
      </c>
      <c r="C6" s="15">
        <v>15.5</v>
      </c>
      <c r="D6" s="15">
        <v>46.4</v>
      </c>
      <c r="E6" s="15">
        <v>1.5</v>
      </c>
      <c r="F6" s="15">
        <v>0.9</v>
      </c>
      <c r="G6" s="15">
        <v>2.4</v>
      </c>
      <c r="H6" s="15" t="s">
        <v>187</v>
      </c>
      <c r="I6" s="62" t="str">
        <f t="shared" si="0"/>
        <v>27;15,5;46,4;none</v>
      </c>
      <c r="J6" s="62" t="s">
        <v>236</v>
      </c>
      <c r="K6" s="62" t="str">
        <f t="shared" si="1"/>
        <v>27;0,9;2,4;none</v>
      </c>
      <c r="L6" s="62" t="s">
        <v>279</v>
      </c>
    </row>
    <row r="7" spans="1:12" ht="16.3" customHeight="1" x14ac:dyDescent="0.4">
      <c r="A7" s="15" t="s">
        <v>10</v>
      </c>
      <c r="B7" s="15">
        <v>18.8</v>
      </c>
      <c r="C7" s="15">
        <v>14.1</v>
      </c>
      <c r="D7" s="15">
        <v>24.4</v>
      </c>
      <c r="E7" s="15">
        <v>5.4</v>
      </c>
      <c r="F7" s="15">
        <v>2</v>
      </c>
      <c r="G7" s="15">
        <v>14.4</v>
      </c>
      <c r="H7" s="15" t="s">
        <v>187</v>
      </c>
      <c r="I7" s="62" t="str">
        <f t="shared" si="0"/>
        <v>27;14,1;24,4;none</v>
      </c>
      <c r="J7" s="62" t="s">
        <v>237</v>
      </c>
      <c r="K7" s="62" t="str">
        <f t="shared" si="1"/>
        <v>27;2;14,4;none</v>
      </c>
      <c r="L7" s="62" t="s">
        <v>280</v>
      </c>
    </row>
    <row r="8" spans="1:12" ht="16.3" customHeight="1" x14ac:dyDescent="0.4">
      <c r="A8" s="15" t="s">
        <v>11</v>
      </c>
      <c r="B8" s="15">
        <v>131</v>
      </c>
      <c r="C8" s="15">
        <v>97.4</v>
      </c>
      <c r="D8" s="15">
        <v>172</v>
      </c>
      <c r="E8" s="15">
        <v>8.1999999999999993</v>
      </c>
      <c r="F8" s="15">
        <v>6.3</v>
      </c>
      <c r="G8" s="15">
        <v>10.7</v>
      </c>
      <c r="H8" s="15" t="s">
        <v>187</v>
      </c>
      <c r="I8" s="62" t="str">
        <f t="shared" si="0"/>
        <v>27;97,4;172;none</v>
      </c>
      <c r="J8" s="62" t="s">
        <v>238</v>
      </c>
      <c r="K8" s="62" t="str">
        <f t="shared" si="1"/>
        <v>27;6,3;10,7;none</v>
      </c>
      <c r="L8" s="62" t="s">
        <v>281</v>
      </c>
    </row>
    <row r="9" spans="1:12" ht="16.3" customHeight="1" x14ac:dyDescent="0.4">
      <c r="A9" s="15" t="s">
        <v>12</v>
      </c>
      <c r="B9" s="15">
        <v>5.8</v>
      </c>
      <c r="C9" s="15">
        <v>4.7</v>
      </c>
      <c r="D9" s="15">
        <v>7.2</v>
      </c>
      <c r="E9" s="15">
        <v>1</v>
      </c>
      <c r="F9" s="15">
        <v>0.7</v>
      </c>
      <c r="G9" s="15">
        <v>1.2</v>
      </c>
      <c r="H9" s="62" t="s">
        <v>7</v>
      </c>
      <c r="I9" s="62" t="str">
        <f t="shared" si="0"/>
        <v>27;4,7;7,2;none</v>
      </c>
      <c r="J9" s="62" t="s">
        <v>239</v>
      </c>
      <c r="K9" s="62" t="str">
        <f t="shared" si="1"/>
        <v>27;0,7;1,2;none</v>
      </c>
      <c r="L9" s="62" t="s">
        <v>282</v>
      </c>
    </row>
    <row r="10" spans="1:12" ht="16.3" customHeight="1" x14ac:dyDescent="0.4">
      <c r="A10" s="15" t="s">
        <v>13</v>
      </c>
      <c r="B10" s="15">
        <v>97200</v>
      </c>
      <c r="C10" s="15">
        <v>53800</v>
      </c>
      <c r="D10" s="15">
        <v>259000</v>
      </c>
      <c r="E10" s="15">
        <v>5710</v>
      </c>
      <c r="F10" s="15">
        <v>5290</v>
      </c>
      <c r="G10" s="15">
        <v>6570</v>
      </c>
      <c r="H10" s="62" t="s">
        <v>7</v>
      </c>
      <c r="I10" s="62" t="str">
        <f t="shared" si="0"/>
        <v>27;53800;259000;none</v>
      </c>
      <c r="J10" s="62" t="s">
        <v>194</v>
      </c>
      <c r="K10" s="62" t="str">
        <f t="shared" si="1"/>
        <v>27;5290;6570;none</v>
      </c>
      <c r="L10" s="62" t="s">
        <v>256</v>
      </c>
    </row>
    <row r="11" spans="1:12" ht="16.3" customHeight="1" x14ac:dyDescent="0.4">
      <c r="A11" s="15" t="s">
        <v>14</v>
      </c>
      <c r="B11" s="15">
        <v>115</v>
      </c>
      <c r="C11" s="15">
        <v>103</v>
      </c>
      <c r="D11" s="15">
        <v>130</v>
      </c>
      <c r="E11" s="15">
        <v>8.1</v>
      </c>
      <c r="F11" s="15">
        <v>7.6</v>
      </c>
      <c r="G11" s="15">
        <v>8.6999999999999993</v>
      </c>
      <c r="H11" s="62" t="s">
        <v>8</v>
      </c>
      <c r="I11" s="62" t="str">
        <f t="shared" si="0"/>
        <v>27;103;130;none</v>
      </c>
      <c r="J11" s="62" t="s">
        <v>195</v>
      </c>
      <c r="K11" s="62" t="str">
        <f t="shared" si="1"/>
        <v>27;7,6;8,7;none</v>
      </c>
      <c r="L11" s="62" t="s">
        <v>283</v>
      </c>
    </row>
    <row r="12" spans="1:12" ht="12.3" x14ac:dyDescent="0.4">
      <c r="A12" s="15" t="s">
        <v>15</v>
      </c>
      <c r="B12" s="15">
        <v>516</v>
      </c>
      <c r="C12" s="15">
        <v>306</v>
      </c>
      <c r="D12" s="15">
        <v>844</v>
      </c>
      <c r="E12" s="15">
        <v>33.1</v>
      </c>
      <c r="F12" s="15">
        <v>19.399999999999999</v>
      </c>
      <c r="G12" s="15">
        <v>53</v>
      </c>
      <c r="H12" s="62" t="s">
        <v>8</v>
      </c>
      <c r="I12" s="62" t="str">
        <f t="shared" si="0"/>
        <v>27;306;844;none</v>
      </c>
      <c r="J12" s="62" t="s">
        <v>196</v>
      </c>
      <c r="K12" s="62" t="str">
        <f t="shared" si="1"/>
        <v>27;19,4;53;none</v>
      </c>
      <c r="L12" s="62" t="s">
        <v>284</v>
      </c>
    </row>
    <row r="13" spans="1:12" ht="16.3" customHeight="1" x14ac:dyDescent="0.4">
      <c r="A13" s="15" t="s">
        <v>16</v>
      </c>
      <c r="B13" s="15">
        <v>40.200000000000003</v>
      </c>
      <c r="C13" s="15">
        <v>34.200000000000003</v>
      </c>
      <c r="D13" s="15">
        <v>47.2</v>
      </c>
      <c r="E13" s="15">
        <v>2.4</v>
      </c>
      <c r="F13" s="15">
        <v>2.2000000000000002</v>
      </c>
      <c r="G13" s="15">
        <v>2.7</v>
      </c>
      <c r="H13" s="62" t="s">
        <v>69</v>
      </c>
      <c r="I13" s="62" t="str">
        <f t="shared" si="0"/>
        <v>27;34,2;47,2;none</v>
      </c>
      <c r="J13" s="62" t="s">
        <v>240</v>
      </c>
      <c r="K13" s="62" t="str">
        <f t="shared" si="1"/>
        <v>27;2,2;2,7;none</v>
      </c>
      <c r="L13" s="62" t="s">
        <v>285</v>
      </c>
    </row>
    <row r="14" spans="1:12" ht="12" customHeight="1" x14ac:dyDescent="0.4">
      <c r="A14" s="15" t="s">
        <v>17</v>
      </c>
      <c r="B14" s="15">
        <v>23.7</v>
      </c>
      <c r="C14" s="15">
        <v>19.100000000000001</v>
      </c>
      <c r="D14" s="15">
        <v>30.4</v>
      </c>
      <c r="E14" s="15">
        <v>1</v>
      </c>
      <c r="F14" s="15">
        <v>0.8</v>
      </c>
      <c r="G14" s="15">
        <v>1.3</v>
      </c>
      <c r="H14" s="15" t="s">
        <v>187</v>
      </c>
      <c r="I14" s="62" t="str">
        <f t="shared" si="0"/>
        <v>27;19,1;30,4;none</v>
      </c>
      <c r="J14" s="62" t="s">
        <v>241</v>
      </c>
      <c r="K14" s="62" t="str">
        <f t="shared" si="1"/>
        <v>27;0,8;1,3;none</v>
      </c>
      <c r="L14" s="62" t="s">
        <v>286</v>
      </c>
    </row>
    <row r="15" spans="1:12" ht="12.3" x14ac:dyDescent="0.4">
      <c r="A15" s="15" t="s">
        <v>18</v>
      </c>
      <c r="B15" s="15">
        <v>23.1</v>
      </c>
      <c r="C15" s="15">
        <v>20.9</v>
      </c>
      <c r="D15" s="15">
        <v>25.5</v>
      </c>
      <c r="E15" s="15">
        <v>1.5</v>
      </c>
      <c r="F15" s="15">
        <v>1.4</v>
      </c>
      <c r="G15" s="15">
        <v>1.7</v>
      </c>
      <c r="H15" s="15" t="s">
        <v>187</v>
      </c>
      <c r="I15" s="62" t="str">
        <f t="shared" si="0"/>
        <v>27;20,9;25,5;none</v>
      </c>
      <c r="J15" s="62" t="s">
        <v>242</v>
      </c>
      <c r="K15" s="62" t="str">
        <f t="shared" si="1"/>
        <v>27;1,4;1,7;none</v>
      </c>
      <c r="L15" s="62" t="s">
        <v>287</v>
      </c>
    </row>
    <row r="16" spans="1:12" ht="16.3" customHeight="1" x14ac:dyDescent="0.4">
      <c r="A16" s="15" t="s">
        <v>19</v>
      </c>
      <c r="B16" s="15">
        <v>128</v>
      </c>
      <c r="C16" s="15">
        <v>93.2</v>
      </c>
      <c r="D16" s="15">
        <v>179</v>
      </c>
      <c r="E16" s="15">
        <v>8.3000000000000007</v>
      </c>
      <c r="F16" s="15">
        <v>6</v>
      </c>
      <c r="G16" s="15">
        <v>11.5</v>
      </c>
      <c r="H16" s="15" t="s">
        <v>187</v>
      </c>
      <c r="I16" s="62" t="str">
        <f t="shared" si="0"/>
        <v>27;93,2;179;none</v>
      </c>
      <c r="J16" s="62" t="s">
        <v>243</v>
      </c>
      <c r="K16" s="62" t="str">
        <f t="shared" si="1"/>
        <v>27;6;11,5;none</v>
      </c>
      <c r="L16" s="62" t="s">
        <v>288</v>
      </c>
    </row>
    <row r="17" spans="1:12" ht="16.3" customHeight="1" x14ac:dyDescent="0.4">
      <c r="A17" s="15" t="s">
        <v>20</v>
      </c>
      <c r="B17" s="15">
        <v>111</v>
      </c>
      <c r="C17" s="15">
        <v>96.4</v>
      </c>
      <c r="D17" s="15">
        <v>129</v>
      </c>
      <c r="E17" s="15">
        <v>6.5</v>
      </c>
      <c r="F17" s="15">
        <v>5.9</v>
      </c>
      <c r="G17" s="15">
        <v>7.3</v>
      </c>
      <c r="H17" s="15" t="s">
        <v>187</v>
      </c>
      <c r="I17" s="62" t="str">
        <f t="shared" si="0"/>
        <v>27;96,4;129;none</v>
      </c>
      <c r="J17" s="62" t="s">
        <v>244</v>
      </c>
      <c r="K17" s="62" t="str">
        <f t="shared" si="1"/>
        <v>27;5,9;7,3;none</v>
      </c>
      <c r="L17" s="62" t="s">
        <v>289</v>
      </c>
    </row>
    <row r="18" spans="1:12" ht="16.3" customHeight="1" x14ac:dyDescent="0.4">
      <c r="A18" s="15" t="s">
        <v>21</v>
      </c>
      <c r="B18" s="15">
        <v>53.7</v>
      </c>
      <c r="C18" s="15">
        <v>42.1</v>
      </c>
      <c r="D18" s="15">
        <v>68.599999999999994</v>
      </c>
      <c r="E18" s="15">
        <v>2.8</v>
      </c>
      <c r="F18" s="15">
        <v>2.2000000000000002</v>
      </c>
      <c r="G18" s="15">
        <v>3.5</v>
      </c>
      <c r="H18" s="15" t="s">
        <v>187</v>
      </c>
      <c r="I18" s="62" t="str">
        <f t="shared" si="0"/>
        <v>27;42,1;68,6;none</v>
      </c>
      <c r="J18" s="62" t="s">
        <v>245</v>
      </c>
      <c r="K18" s="62" t="str">
        <f t="shared" si="1"/>
        <v>27;2,2;3,5;none</v>
      </c>
      <c r="L18" s="62" t="s">
        <v>290</v>
      </c>
    </row>
    <row r="19" spans="1:12" ht="16.3" customHeight="1" x14ac:dyDescent="0.4">
      <c r="A19" s="15" t="s">
        <v>22</v>
      </c>
      <c r="B19" s="15">
        <v>52.9</v>
      </c>
      <c r="C19" s="15">
        <v>37.1</v>
      </c>
      <c r="D19" s="15">
        <v>80.3</v>
      </c>
      <c r="E19" s="15">
        <v>3.1</v>
      </c>
      <c r="F19" s="15">
        <v>2.4</v>
      </c>
      <c r="G19" s="15">
        <v>4.0999999999999996</v>
      </c>
      <c r="H19" s="15" t="s">
        <v>187</v>
      </c>
      <c r="I19" s="62" t="str">
        <f t="shared" si="0"/>
        <v>27;37,1;80,3;none</v>
      </c>
      <c r="J19" s="62" t="s">
        <v>246</v>
      </c>
      <c r="K19" s="62" t="str">
        <f t="shared" si="1"/>
        <v>27;2,4;4,1;none</v>
      </c>
      <c r="L19" s="62" t="s">
        <v>291</v>
      </c>
    </row>
    <row r="20" spans="1:12" ht="16.3" customHeight="1" x14ac:dyDescent="0.4">
      <c r="A20" s="15" t="s">
        <v>23</v>
      </c>
      <c r="B20" s="15">
        <v>3030</v>
      </c>
      <c r="C20" s="15">
        <v>1520</v>
      </c>
      <c r="D20" s="15">
        <v>5350</v>
      </c>
      <c r="E20" s="15">
        <v>205</v>
      </c>
      <c r="F20" s="15">
        <v>128</v>
      </c>
      <c r="G20" s="15">
        <v>331</v>
      </c>
      <c r="H20" s="15" t="s">
        <v>187</v>
      </c>
      <c r="I20" s="62" t="str">
        <f t="shared" si="0"/>
        <v>27;1520;5350;none</v>
      </c>
      <c r="J20" s="62" t="s">
        <v>197</v>
      </c>
      <c r="K20" s="62" t="str">
        <f t="shared" si="1"/>
        <v>27;128;331;none</v>
      </c>
      <c r="L20" s="62" t="s">
        <v>257</v>
      </c>
    </row>
    <row r="21" spans="1:12" ht="13.3" customHeight="1" x14ac:dyDescent="0.4">
      <c r="A21" s="15" t="s">
        <v>24</v>
      </c>
      <c r="B21" s="15">
        <v>2890</v>
      </c>
      <c r="C21" s="15">
        <v>1870</v>
      </c>
      <c r="D21" s="15">
        <v>4570</v>
      </c>
      <c r="E21" s="15">
        <v>170</v>
      </c>
      <c r="F21" s="15">
        <v>121</v>
      </c>
      <c r="G21" s="15">
        <v>252</v>
      </c>
      <c r="H21" s="15" t="s">
        <v>187</v>
      </c>
      <c r="I21" s="62" t="str">
        <f t="shared" si="0"/>
        <v>27;1870;4570;none</v>
      </c>
      <c r="J21" s="62" t="s">
        <v>198</v>
      </c>
      <c r="K21" s="62" t="str">
        <f t="shared" si="1"/>
        <v>27;121;252;none</v>
      </c>
      <c r="L21" s="62" t="s">
        <v>258</v>
      </c>
    </row>
    <row r="22" spans="1:12" ht="16.3" customHeight="1" x14ac:dyDescent="0.4">
      <c r="A22" s="15" t="s">
        <v>25</v>
      </c>
      <c r="B22" s="15">
        <v>5</v>
      </c>
      <c r="C22" s="15">
        <v>4.4000000000000004</v>
      </c>
      <c r="D22" s="15">
        <v>5.7</v>
      </c>
      <c r="E22" s="15">
        <v>0.3</v>
      </c>
      <c r="F22" s="15">
        <v>0.3</v>
      </c>
      <c r="G22" s="15">
        <v>0.4</v>
      </c>
      <c r="H22" s="15" t="s">
        <v>187</v>
      </c>
      <c r="I22" s="62" t="str">
        <f t="shared" si="0"/>
        <v>27;4,4;5,7;none</v>
      </c>
      <c r="J22" s="62" t="s">
        <v>247</v>
      </c>
      <c r="K22" s="62" t="str">
        <f t="shared" si="1"/>
        <v>27;0,3;0,4;none</v>
      </c>
      <c r="L22" s="62" t="s">
        <v>292</v>
      </c>
    </row>
    <row r="23" spans="1:12" ht="16.75" customHeight="1" x14ac:dyDescent="0.4">
      <c r="A23" s="15" t="s">
        <v>26</v>
      </c>
      <c r="B23" s="15">
        <v>65.5</v>
      </c>
      <c r="C23" s="15">
        <v>49.2</v>
      </c>
      <c r="D23" s="15">
        <v>88.4</v>
      </c>
      <c r="E23" s="15">
        <v>3.6</v>
      </c>
      <c r="F23" s="15">
        <v>2.7</v>
      </c>
      <c r="G23" s="15">
        <v>4.8</v>
      </c>
      <c r="H23" s="15" t="s">
        <v>187</v>
      </c>
      <c r="I23" s="62" t="str">
        <f t="shared" si="0"/>
        <v>27;49,2;88,4;none</v>
      </c>
      <c r="J23" s="62" t="s">
        <v>248</v>
      </c>
      <c r="K23" s="62" t="str">
        <f t="shared" si="1"/>
        <v>27;2,7;4,8;none</v>
      </c>
      <c r="L23" s="62" t="s">
        <v>293</v>
      </c>
    </row>
    <row r="24" spans="1:12" ht="16.3" customHeight="1" x14ac:dyDescent="0.4">
      <c r="A24" s="15" t="s">
        <v>27</v>
      </c>
      <c r="B24" s="15">
        <v>48.8</v>
      </c>
      <c r="C24" s="15">
        <v>27.7</v>
      </c>
      <c r="D24" s="15">
        <v>89.7</v>
      </c>
      <c r="E24" s="15">
        <v>3.2</v>
      </c>
      <c r="F24" s="15">
        <v>2.1</v>
      </c>
      <c r="G24" s="15">
        <v>4.7</v>
      </c>
      <c r="H24" s="62" t="s">
        <v>7</v>
      </c>
      <c r="I24" s="62" t="str">
        <f t="shared" si="0"/>
        <v>27;27,7;89,7;none</v>
      </c>
      <c r="J24" s="62" t="s">
        <v>249</v>
      </c>
      <c r="K24" s="62" t="str">
        <f t="shared" si="1"/>
        <v>27;2,1;4,7;none</v>
      </c>
      <c r="L24" s="62" t="s">
        <v>294</v>
      </c>
    </row>
    <row r="25" spans="1:12" ht="16.3" customHeight="1" x14ac:dyDescent="0.4">
      <c r="A25" s="15" t="s">
        <v>28</v>
      </c>
      <c r="B25" s="15">
        <v>295</v>
      </c>
      <c r="C25" s="15">
        <v>231</v>
      </c>
      <c r="D25" s="15">
        <v>374</v>
      </c>
      <c r="E25" s="15">
        <v>15.1</v>
      </c>
      <c r="F25" s="15">
        <v>11.9</v>
      </c>
      <c r="G25" s="15">
        <v>19.2</v>
      </c>
      <c r="H25" s="62" t="s">
        <v>7</v>
      </c>
      <c r="I25" s="62" t="str">
        <f t="shared" si="0"/>
        <v>27;231;374;none</v>
      </c>
      <c r="J25" s="62" t="s">
        <v>199</v>
      </c>
      <c r="K25" s="62" t="str">
        <f t="shared" si="1"/>
        <v>27;11,9;19,2;none</v>
      </c>
      <c r="L25" s="62" t="s">
        <v>295</v>
      </c>
    </row>
    <row r="26" spans="1:12" ht="16.3" customHeight="1" x14ac:dyDescent="0.4">
      <c r="A26" s="15" t="s">
        <v>29</v>
      </c>
      <c r="B26" s="15">
        <v>19.899999999999999</v>
      </c>
      <c r="C26" s="15">
        <v>15.2</v>
      </c>
      <c r="D26" s="15">
        <v>27</v>
      </c>
      <c r="E26" s="15">
        <v>1.1000000000000001</v>
      </c>
      <c r="F26" s="15">
        <v>0.9</v>
      </c>
      <c r="G26" s="15">
        <v>1.3</v>
      </c>
      <c r="H26" s="15" t="s">
        <v>187</v>
      </c>
      <c r="I26" s="62" t="str">
        <f t="shared" si="0"/>
        <v>27;15,2;27;none</v>
      </c>
      <c r="J26" s="62" t="s">
        <v>250</v>
      </c>
      <c r="K26" s="62" t="str">
        <f t="shared" si="1"/>
        <v>27;0,9;1,3;none</v>
      </c>
      <c r="L26" s="62" t="s">
        <v>296</v>
      </c>
    </row>
    <row r="27" spans="1:12" ht="16.3" customHeight="1" x14ac:dyDescent="0.4">
      <c r="A27" s="15" t="s">
        <v>30</v>
      </c>
      <c r="B27" s="15">
        <v>172</v>
      </c>
      <c r="C27" s="15">
        <v>132</v>
      </c>
      <c r="D27" s="15">
        <v>224</v>
      </c>
      <c r="E27" s="15">
        <v>12.5</v>
      </c>
      <c r="F27" s="15">
        <v>10.1</v>
      </c>
      <c r="G27" s="15">
        <v>15.4</v>
      </c>
      <c r="H27" s="62" t="s">
        <v>7</v>
      </c>
      <c r="I27" s="62" t="str">
        <f t="shared" si="0"/>
        <v>27;132;224;none</v>
      </c>
      <c r="J27" s="62" t="s">
        <v>200</v>
      </c>
      <c r="K27" s="62" t="str">
        <f t="shared" si="1"/>
        <v>27;10,1;15,4;none</v>
      </c>
      <c r="L27" s="62" t="s">
        <v>297</v>
      </c>
    </row>
    <row r="28" spans="1:12" ht="16.3" customHeight="1" x14ac:dyDescent="0.4">
      <c r="A28" s="15" t="s">
        <v>31</v>
      </c>
      <c r="B28" s="15">
        <v>117</v>
      </c>
      <c r="C28" s="15">
        <v>95.3</v>
      </c>
      <c r="D28" s="15">
        <v>145</v>
      </c>
      <c r="E28" s="15">
        <v>5.7</v>
      </c>
      <c r="F28" s="15">
        <v>4.5</v>
      </c>
      <c r="G28" s="15">
        <v>7.3</v>
      </c>
      <c r="H28" s="15" t="s">
        <v>187</v>
      </c>
      <c r="I28" s="62" t="str">
        <f t="shared" si="0"/>
        <v>27;95,3;145;none</v>
      </c>
      <c r="J28" s="62" t="s">
        <v>251</v>
      </c>
      <c r="K28" s="62" t="str">
        <f t="shared" si="1"/>
        <v>27;4,5;7,3;none</v>
      </c>
      <c r="L28" s="62" t="s">
        <v>298</v>
      </c>
    </row>
    <row r="29" spans="1:12" ht="16.3" customHeight="1" x14ac:dyDescent="0.4">
      <c r="A29" s="15" t="s">
        <v>32</v>
      </c>
      <c r="B29" s="15">
        <v>41100</v>
      </c>
      <c r="C29" s="15">
        <v>29700</v>
      </c>
      <c r="D29" s="15">
        <v>54700</v>
      </c>
      <c r="E29" s="15">
        <v>2110</v>
      </c>
      <c r="F29" s="15">
        <v>1660</v>
      </c>
      <c r="G29" s="15">
        <v>2690</v>
      </c>
      <c r="H29" s="62" t="s">
        <v>7</v>
      </c>
      <c r="I29" s="62" t="str">
        <f t="shared" si="0"/>
        <v>27;29700;54700;none</v>
      </c>
      <c r="J29" s="62" t="s">
        <v>201</v>
      </c>
      <c r="K29" s="62" t="str">
        <f t="shared" si="1"/>
        <v>27;1660;2690;none</v>
      </c>
      <c r="L29" s="62" t="s">
        <v>259</v>
      </c>
    </row>
    <row r="30" spans="1:12" ht="16.3" customHeight="1" x14ac:dyDescent="0.4">
      <c r="A30" s="15" t="s">
        <v>33</v>
      </c>
      <c r="B30" s="15">
        <v>683000</v>
      </c>
      <c r="C30" s="15">
        <v>504000</v>
      </c>
      <c r="D30" s="15">
        <v>911000</v>
      </c>
      <c r="E30" s="15">
        <v>35100</v>
      </c>
      <c r="F30" s="15">
        <v>26700</v>
      </c>
      <c r="G30" s="15">
        <v>45500</v>
      </c>
      <c r="H30" s="15" t="s">
        <v>187</v>
      </c>
      <c r="I30" s="62" t="str">
        <f t="shared" si="0"/>
        <v>27;504000;911000;none</v>
      </c>
      <c r="J30" s="62" t="s">
        <v>202</v>
      </c>
      <c r="K30" s="62" t="str">
        <f t="shared" si="1"/>
        <v>27;26700;45500;none</v>
      </c>
      <c r="L30" s="62" t="s">
        <v>260</v>
      </c>
    </row>
    <row r="31" spans="1:12" ht="16.3" customHeight="1" x14ac:dyDescent="0.4">
      <c r="A31" s="15" t="s">
        <v>34</v>
      </c>
      <c r="B31" s="15">
        <v>72700</v>
      </c>
      <c r="C31" s="15">
        <v>55500</v>
      </c>
      <c r="D31" s="15">
        <v>95500</v>
      </c>
      <c r="E31" s="15">
        <v>3880</v>
      </c>
      <c r="F31" s="15">
        <v>3090</v>
      </c>
      <c r="G31" s="15">
        <v>4860</v>
      </c>
      <c r="H31" s="15" t="s">
        <v>187</v>
      </c>
      <c r="I31" s="62" t="str">
        <f t="shared" si="0"/>
        <v>27;55500;95500;none</v>
      </c>
      <c r="J31" s="62" t="s">
        <v>203</v>
      </c>
      <c r="K31" s="62" t="str">
        <f t="shared" si="1"/>
        <v>27;3090;4860;none</v>
      </c>
      <c r="L31" s="62" t="s">
        <v>261</v>
      </c>
    </row>
    <row r="32" spans="1:12" ht="12.3" x14ac:dyDescent="0.4">
      <c r="A32" s="15" t="s">
        <v>35</v>
      </c>
      <c r="B32" s="15">
        <v>3280</v>
      </c>
      <c r="C32" s="15">
        <v>2740</v>
      </c>
      <c r="D32" s="15">
        <v>3950</v>
      </c>
      <c r="E32" s="15">
        <v>196</v>
      </c>
      <c r="F32" s="15">
        <v>164</v>
      </c>
      <c r="G32" s="15">
        <v>234</v>
      </c>
      <c r="H32" s="15" t="s">
        <v>187</v>
      </c>
      <c r="I32" s="62" t="str">
        <f t="shared" si="0"/>
        <v>27;2740;3950;none</v>
      </c>
      <c r="J32" s="62" t="s">
        <v>204</v>
      </c>
      <c r="K32" s="62" t="str">
        <f t="shared" si="1"/>
        <v>27;164;234;none</v>
      </c>
      <c r="L32" s="62" t="s">
        <v>262</v>
      </c>
    </row>
    <row r="33" spans="1:12" ht="16.3" customHeight="1" x14ac:dyDescent="0.4">
      <c r="A33" s="15" t="s">
        <v>36</v>
      </c>
      <c r="B33" s="15">
        <v>53</v>
      </c>
      <c r="C33" s="15">
        <v>28.1</v>
      </c>
      <c r="D33" s="15">
        <v>118</v>
      </c>
      <c r="E33" s="15">
        <v>3</v>
      </c>
      <c r="F33" s="15">
        <v>1.8</v>
      </c>
      <c r="G33" s="15">
        <v>5.0999999999999996</v>
      </c>
      <c r="H33" s="15" t="s">
        <v>187</v>
      </c>
      <c r="I33" s="62" t="str">
        <f t="shared" si="0"/>
        <v>27;28,1;118;none</v>
      </c>
      <c r="J33" s="62" t="s">
        <v>252</v>
      </c>
      <c r="K33" s="62" t="str">
        <f t="shared" si="1"/>
        <v>27;1,8;5,1;none</v>
      </c>
      <c r="L33" s="62" t="s">
        <v>299</v>
      </c>
    </row>
    <row r="34" spans="1:12" ht="16.3" customHeight="1" x14ac:dyDescent="0.4">
      <c r="A34" s="15" t="s">
        <v>37</v>
      </c>
      <c r="B34" s="15">
        <v>1720</v>
      </c>
      <c r="C34" s="15">
        <v>1170</v>
      </c>
      <c r="D34" s="15">
        <v>2520</v>
      </c>
      <c r="E34" s="15">
        <v>102</v>
      </c>
      <c r="F34" s="15">
        <v>78.8</v>
      </c>
      <c r="G34" s="15">
        <v>155</v>
      </c>
      <c r="H34" s="15" t="s">
        <v>187</v>
      </c>
      <c r="I34" s="62" t="str">
        <f t="shared" si="0"/>
        <v>27;1170;2520;none</v>
      </c>
      <c r="J34" s="62" t="s">
        <v>205</v>
      </c>
      <c r="K34" s="62" t="str">
        <f t="shared" si="1"/>
        <v>27;78,8;155;none</v>
      </c>
      <c r="L34" s="62" t="s">
        <v>300</v>
      </c>
    </row>
    <row r="35" spans="1:12" ht="16.3" customHeight="1" x14ac:dyDescent="0.4">
      <c r="A35" s="15" t="s">
        <v>38</v>
      </c>
      <c r="B35" s="15">
        <v>321</v>
      </c>
      <c r="C35" s="15">
        <v>201</v>
      </c>
      <c r="D35" s="15">
        <v>496</v>
      </c>
      <c r="E35" s="15">
        <v>17.100000000000001</v>
      </c>
      <c r="F35" s="15">
        <v>11</v>
      </c>
      <c r="G35" s="15">
        <v>26.8</v>
      </c>
      <c r="H35" s="15" t="s">
        <v>187</v>
      </c>
      <c r="I35" s="62" t="str">
        <f t="shared" si="0"/>
        <v>27;201;496;none</v>
      </c>
      <c r="J35" s="62" t="s">
        <v>206</v>
      </c>
      <c r="K35" s="62" t="str">
        <f t="shared" si="1"/>
        <v>27;11;26,8;none</v>
      </c>
      <c r="L35" s="62" t="s">
        <v>301</v>
      </c>
    </row>
    <row r="36" spans="1:12" ht="16.3" customHeight="1" x14ac:dyDescent="0.4">
      <c r="A36" s="15" t="s">
        <v>39</v>
      </c>
      <c r="B36" s="15">
        <v>141</v>
      </c>
      <c r="C36" s="15">
        <v>68.400000000000006</v>
      </c>
      <c r="D36" s="15">
        <v>342</v>
      </c>
      <c r="E36" s="15">
        <v>12.9</v>
      </c>
      <c r="F36" s="15">
        <v>7.2</v>
      </c>
      <c r="G36" s="15">
        <v>23.9</v>
      </c>
      <c r="H36" s="15" t="s">
        <v>187</v>
      </c>
      <c r="I36" s="62" t="str">
        <f t="shared" si="0"/>
        <v>27;68,4;342;none</v>
      </c>
      <c r="J36" s="62" t="s">
        <v>253</v>
      </c>
      <c r="K36" s="62" t="str">
        <f t="shared" si="1"/>
        <v>27;7,2;23,9;none</v>
      </c>
      <c r="L36" s="62" t="s">
        <v>302</v>
      </c>
    </row>
    <row r="37" spans="1:12" ht="16.3" customHeight="1" x14ac:dyDescent="0.4">
      <c r="A37" s="15" t="s">
        <v>40</v>
      </c>
      <c r="B37" s="15">
        <v>435</v>
      </c>
      <c r="C37" s="15">
        <v>332</v>
      </c>
      <c r="D37" s="15">
        <v>559</v>
      </c>
      <c r="E37" s="15">
        <v>21.9</v>
      </c>
      <c r="F37" s="15">
        <v>17.100000000000001</v>
      </c>
      <c r="G37" s="15">
        <v>27.3</v>
      </c>
      <c r="H37" s="15" t="s">
        <v>187</v>
      </c>
      <c r="I37" s="62" t="str">
        <f t="shared" si="0"/>
        <v>27;332;559;none</v>
      </c>
      <c r="J37" s="62" t="s">
        <v>207</v>
      </c>
      <c r="K37" s="62" t="str">
        <f t="shared" si="1"/>
        <v>27;17,1;27,3;none</v>
      </c>
      <c r="L37" s="62" t="s">
        <v>303</v>
      </c>
    </row>
    <row r="38" spans="1:12" ht="16.3" customHeight="1" x14ac:dyDescent="0.4">
      <c r="A38" s="15" t="s">
        <v>41</v>
      </c>
      <c r="B38" s="15">
        <v>4</v>
      </c>
      <c r="C38" s="15">
        <v>2.6</v>
      </c>
      <c r="D38" s="15">
        <v>5.9</v>
      </c>
      <c r="E38" s="15">
        <v>0.2</v>
      </c>
      <c r="F38" s="15">
        <v>0.1</v>
      </c>
      <c r="G38" s="15">
        <v>0.3</v>
      </c>
      <c r="H38" s="15" t="s">
        <v>187</v>
      </c>
      <c r="I38" s="62" t="str">
        <f t="shared" si="0"/>
        <v>27;2,6;5,9;none</v>
      </c>
      <c r="J38" s="62" t="s">
        <v>254</v>
      </c>
      <c r="K38" s="62" t="str">
        <f t="shared" si="1"/>
        <v>27;0,1;0,3;none</v>
      </c>
      <c r="L38" s="62" t="s">
        <v>304</v>
      </c>
    </row>
    <row r="39" spans="1:12" ht="16.3" customHeight="1" x14ac:dyDescent="0.4">
      <c r="A39" s="15" t="s">
        <v>42</v>
      </c>
      <c r="B39" s="15">
        <v>215</v>
      </c>
      <c r="C39" s="15">
        <v>172</v>
      </c>
      <c r="D39" s="15">
        <v>275</v>
      </c>
      <c r="E39" s="15">
        <v>11</v>
      </c>
      <c r="F39" s="15">
        <v>8.8000000000000007</v>
      </c>
      <c r="G39" s="15">
        <v>14.3</v>
      </c>
      <c r="H39" s="15" t="s">
        <v>187</v>
      </c>
      <c r="I39" s="62" t="str">
        <f t="shared" si="0"/>
        <v>27;172;275;none</v>
      </c>
      <c r="J39" s="62" t="s">
        <v>208</v>
      </c>
      <c r="K39" s="62" t="str">
        <f t="shared" si="1"/>
        <v>27;8,8;14,3;none</v>
      </c>
      <c r="L39" s="62" t="s">
        <v>305</v>
      </c>
    </row>
    <row r="40" spans="1:12" ht="16.3" customHeight="1" x14ac:dyDescent="0.4">
      <c r="A40" s="15" t="s">
        <v>43</v>
      </c>
      <c r="B40" s="15">
        <v>252</v>
      </c>
      <c r="C40" s="15">
        <v>198</v>
      </c>
      <c r="D40" s="15">
        <v>326</v>
      </c>
      <c r="E40" s="15">
        <v>12.9</v>
      </c>
      <c r="F40" s="15">
        <v>10.1</v>
      </c>
      <c r="G40" s="15">
        <v>16.399999999999999</v>
      </c>
      <c r="H40" s="15" t="s">
        <v>187</v>
      </c>
      <c r="I40" s="62" t="str">
        <f t="shared" si="0"/>
        <v>27;198;326;none</v>
      </c>
      <c r="J40" s="62" t="s">
        <v>209</v>
      </c>
      <c r="K40" s="62" t="str">
        <f t="shared" si="1"/>
        <v>27;10,1;16,4;none</v>
      </c>
      <c r="L40" s="62" t="s">
        <v>306</v>
      </c>
    </row>
    <row r="41" spans="1:12" ht="16.3" customHeight="1" x14ac:dyDescent="0.4">
      <c r="A41" s="15" t="s">
        <v>44</v>
      </c>
      <c r="B41" s="15">
        <v>376</v>
      </c>
      <c r="C41" s="15">
        <v>301</v>
      </c>
      <c r="D41" s="15">
        <v>475</v>
      </c>
      <c r="E41" s="15">
        <v>19.2</v>
      </c>
      <c r="F41" s="15">
        <v>14.9</v>
      </c>
      <c r="G41" s="15">
        <v>24.7</v>
      </c>
      <c r="H41" s="15" t="s">
        <v>187</v>
      </c>
      <c r="I41" s="62" t="str">
        <f t="shared" si="0"/>
        <v>27;301;475;none</v>
      </c>
      <c r="J41" s="62" t="s">
        <v>210</v>
      </c>
      <c r="K41" s="62" t="str">
        <f t="shared" si="1"/>
        <v>27;14,9;24,7;none</v>
      </c>
      <c r="L41" s="62" t="s">
        <v>307</v>
      </c>
    </row>
    <row r="42" spans="1:12" ht="16.3" customHeight="1" x14ac:dyDescent="0.4">
      <c r="A42" s="15" t="s">
        <v>45</v>
      </c>
      <c r="B42" s="15">
        <v>344</v>
      </c>
      <c r="C42" s="15">
        <v>267</v>
      </c>
      <c r="D42" s="15">
        <v>437</v>
      </c>
      <c r="E42" s="15">
        <v>17.600000000000001</v>
      </c>
      <c r="F42" s="15">
        <v>13.8</v>
      </c>
      <c r="G42" s="15">
        <v>22.9</v>
      </c>
      <c r="H42" s="15" t="s">
        <v>187</v>
      </c>
      <c r="I42" s="62" t="str">
        <f t="shared" si="0"/>
        <v>27;267;437;none</v>
      </c>
      <c r="J42" s="62" t="s">
        <v>211</v>
      </c>
      <c r="K42" s="62" t="str">
        <f t="shared" si="1"/>
        <v>27;13,8;22,9;none</v>
      </c>
      <c r="L42" s="62" t="s">
        <v>308</v>
      </c>
    </row>
    <row r="43" spans="1:12" ht="16.75" customHeight="1" x14ac:dyDescent="0.4">
      <c r="A43" s="15" t="s">
        <v>46</v>
      </c>
      <c r="B43" s="15">
        <v>1160</v>
      </c>
      <c r="C43" s="15">
        <v>915</v>
      </c>
      <c r="D43" s="15">
        <v>1490</v>
      </c>
      <c r="E43" s="15">
        <v>59.1</v>
      </c>
      <c r="F43" s="15">
        <v>46.1</v>
      </c>
      <c r="G43" s="15">
        <v>77.2</v>
      </c>
      <c r="H43" s="15" t="s">
        <v>187</v>
      </c>
      <c r="I43" s="62" t="str">
        <f t="shared" si="0"/>
        <v>27;915;1490;none</v>
      </c>
      <c r="J43" s="62" t="s">
        <v>212</v>
      </c>
      <c r="K43" s="62" t="str">
        <f t="shared" si="1"/>
        <v>27;46,1;77,2;none</v>
      </c>
      <c r="L43" s="62" t="s">
        <v>309</v>
      </c>
    </row>
    <row r="44" spans="1:12" ht="16.3" customHeight="1" x14ac:dyDescent="0.4">
      <c r="A44" s="15" t="s">
        <v>47</v>
      </c>
      <c r="B44" s="15">
        <v>7750</v>
      </c>
      <c r="C44" s="15">
        <v>6020</v>
      </c>
      <c r="D44" s="15">
        <v>10100</v>
      </c>
      <c r="E44" s="15">
        <v>395</v>
      </c>
      <c r="F44" s="15">
        <v>314</v>
      </c>
      <c r="G44" s="15">
        <v>505</v>
      </c>
      <c r="H44" s="15" t="s">
        <v>187</v>
      </c>
      <c r="I44" s="62" t="str">
        <f t="shared" si="0"/>
        <v>27;6020;10100;none</v>
      </c>
      <c r="J44" s="62" t="s">
        <v>213</v>
      </c>
      <c r="K44" s="62" t="str">
        <f t="shared" si="1"/>
        <v>27;314;505;none</v>
      </c>
      <c r="L44" s="62" t="s">
        <v>263</v>
      </c>
    </row>
    <row r="45" spans="1:12" ht="16.3" customHeight="1" x14ac:dyDescent="0.4">
      <c r="A45" s="15" t="s">
        <v>48</v>
      </c>
      <c r="B45" s="15">
        <v>914</v>
      </c>
      <c r="C45" s="15">
        <v>726</v>
      </c>
      <c r="D45" s="15">
        <v>1170</v>
      </c>
      <c r="E45" s="15">
        <v>46.6</v>
      </c>
      <c r="F45" s="15">
        <v>37.200000000000003</v>
      </c>
      <c r="G45" s="15">
        <v>60.7</v>
      </c>
      <c r="H45" s="15" t="s">
        <v>187</v>
      </c>
      <c r="I45" s="62" t="str">
        <f t="shared" si="0"/>
        <v>27;726;1170;none</v>
      </c>
      <c r="J45" s="62" t="s">
        <v>214</v>
      </c>
      <c r="K45" s="62" t="str">
        <f t="shared" si="1"/>
        <v>27;37,2;60,7;none</v>
      </c>
      <c r="L45" s="62" t="s">
        <v>310</v>
      </c>
    </row>
    <row r="46" spans="1:12" ht="16.3" customHeight="1" x14ac:dyDescent="0.4">
      <c r="A46" s="15" t="s">
        <v>49</v>
      </c>
      <c r="B46" s="15">
        <v>5820</v>
      </c>
      <c r="C46" s="15">
        <v>4600</v>
      </c>
      <c r="D46" s="15">
        <v>7510</v>
      </c>
      <c r="E46" s="15">
        <v>297</v>
      </c>
      <c r="F46" s="15">
        <v>237</v>
      </c>
      <c r="G46" s="15">
        <v>385</v>
      </c>
      <c r="H46" s="62" t="s">
        <v>7</v>
      </c>
      <c r="I46" s="62" t="str">
        <f t="shared" si="0"/>
        <v>27;4600;7510;none</v>
      </c>
      <c r="J46" s="62" t="s">
        <v>215</v>
      </c>
      <c r="K46" s="62" t="str">
        <f t="shared" si="1"/>
        <v>27;237;385;none</v>
      </c>
      <c r="L46" s="62" t="s">
        <v>264</v>
      </c>
    </row>
    <row r="47" spans="1:12" ht="16.3" customHeight="1" x14ac:dyDescent="0.4">
      <c r="A47" s="15" t="s">
        <v>50</v>
      </c>
      <c r="B47" s="15">
        <v>1170</v>
      </c>
      <c r="C47" s="15">
        <v>904</v>
      </c>
      <c r="D47" s="15">
        <v>1480</v>
      </c>
      <c r="E47" s="15">
        <v>59.6</v>
      </c>
      <c r="F47" s="15">
        <v>46.9</v>
      </c>
      <c r="G47" s="15">
        <v>76.400000000000006</v>
      </c>
      <c r="H47" s="62" t="s">
        <v>7</v>
      </c>
      <c r="I47" s="62" t="str">
        <f t="shared" si="0"/>
        <v>27;904;1480;none</v>
      </c>
      <c r="J47" s="62" t="s">
        <v>216</v>
      </c>
      <c r="K47" s="62" t="str">
        <f t="shared" si="1"/>
        <v>27;46,9;76,4;none</v>
      </c>
      <c r="L47" s="62" t="s">
        <v>311</v>
      </c>
    </row>
    <row r="48" spans="1:12" ht="16.3" customHeight="1" x14ac:dyDescent="0.4">
      <c r="A48" s="15" t="s">
        <v>51</v>
      </c>
      <c r="B48" s="15">
        <v>4400</v>
      </c>
      <c r="C48" s="15">
        <v>3400</v>
      </c>
      <c r="D48" s="15">
        <v>5510</v>
      </c>
      <c r="E48" s="15">
        <v>226</v>
      </c>
      <c r="F48" s="15">
        <v>178</v>
      </c>
      <c r="G48" s="15">
        <v>292</v>
      </c>
      <c r="H48" s="62" t="s">
        <v>7</v>
      </c>
      <c r="I48" s="62" t="str">
        <f t="shared" si="0"/>
        <v>27;3400;5510;none</v>
      </c>
      <c r="J48" s="62" t="s">
        <v>217</v>
      </c>
      <c r="K48" s="62" t="str">
        <f t="shared" si="1"/>
        <v>27;178;292;none</v>
      </c>
      <c r="L48" s="62" t="s">
        <v>265</v>
      </c>
    </row>
    <row r="49" spans="1:12" ht="16.3" customHeight="1" x14ac:dyDescent="0.4">
      <c r="A49" s="15" t="s">
        <v>52</v>
      </c>
      <c r="B49" s="15">
        <v>954</v>
      </c>
      <c r="C49" s="15">
        <v>751</v>
      </c>
      <c r="D49" s="15">
        <v>1260</v>
      </c>
      <c r="E49" s="15">
        <v>48.7</v>
      </c>
      <c r="F49" s="15">
        <v>37.799999999999997</v>
      </c>
      <c r="G49" s="15">
        <v>62</v>
      </c>
      <c r="H49" s="62" t="s">
        <v>7</v>
      </c>
      <c r="I49" s="62" t="str">
        <f t="shared" si="0"/>
        <v>27;751;1260;none</v>
      </c>
      <c r="J49" s="62" t="s">
        <v>218</v>
      </c>
      <c r="K49" s="62" t="str">
        <f t="shared" si="1"/>
        <v>27;37,8;62;none</v>
      </c>
      <c r="L49" s="62" t="s">
        <v>312</v>
      </c>
    </row>
    <row r="50" spans="1:12" ht="16.3" customHeight="1" x14ac:dyDescent="0.4">
      <c r="A50" s="15" t="s">
        <v>53</v>
      </c>
      <c r="B50" s="15">
        <v>12700</v>
      </c>
      <c r="C50" s="15">
        <v>10100</v>
      </c>
      <c r="D50" s="15">
        <v>16200</v>
      </c>
      <c r="E50" s="15">
        <v>649</v>
      </c>
      <c r="F50" s="15">
        <v>516</v>
      </c>
      <c r="G50" s="15">
        <v>843</v>
      </c>
      <c r="H50" s="62" t="s">
        <v>7</v>
      </c>
      <c r="I50" s="62" t="str">
        <f t="shared" si="0"/>
        <v>27;10100;16200;none</v>
      </c>
      <c r="J50" s="62" t="s">
        <v>219</v>
      </c>
      <c r="K50" s="62" t="str">
        <f t="shared" si="1"/>
        <v>27;516;843;none</v>
      </c>
      <c r="L50" s="62" t="s">
        <v>266</v>
      </c>
    </row>
    <row r="51" spans="1:12" ht="16.3" customHeight="1" x14ac:dyDescent="0.4">
      <c r="A51" s="15" t="s">
        <v>54</v>
      </c>
      <c r="B51" s="15">
        <v>2450</v>
      </c>
      <c r="C51" s="15">
        <v>1930</v>
      </c>
      <c r="D51" s="15">
        <v>3080</v>
      </c>
      <c r="E51" s="15">
        <v>125</v>
      </c>
      <c r="F51" s="15">
        <v>98.1</v>
      </c>
      <c r="G51" s="15">
        <v>161</v>
      </c>
      <c r="H51" s="62" t="s">
        <v>7</v>
      </c>
      <c r="I51" s="62" t="str">
        <f t="shared" si="0"/>
        <v>27;1930;3080;none</v>
      </c>
      <c r="J51" s="62" t="s">
        <v>220</v>
      </c>
      <c r="K51" s="62" t="str">
        <f t="shared" si="1"/>
        <v>27;98,1;161;none</v>
      </c>
      <c r="L51" s="62" t="s">
        <v>313</v>
      </c>
    </row>
    <row r="52" spans="1:12" ht="16.3" customHeight="1" x14ac:dyDescent="0.4">
      <c r="A52" s="15" t="s">
        <v>55</v>
      </c>
      <c r="B52" s="15">
        <v>17600</v>
      </c>
      <c r="C52" s="15">
        <v>13500</v>
      </c>
      <c r="D52" s="15">
        <v>22700</v>
      </c>
      <c r="E52" s="15">
        <v>896</v>
      </c>
      <c r="F52" s="15">
        <v>704</v>
      </c>
      <c r="G52" s="15">
        <v>1150</v>
      </c>
      <c r="H52" s="62" t="s">
        <v>7</v>
      </c>
      <c r="I52" s="62" t="str">
        <f t="shared" si="0"/>
        <v>27;13500;22700;none</v>
      </c>
      <c r="J52" s="62" t="s">
        <v>221</v>
      </c>
      <c r="K52" s="62" t="str">
        <f t="shared" si="1"/>
        <v>27;704;1150;none</v>
      </c>
      <c r="L52" s="62" t="s">
        <v>267</v>
      </c>
    </row>
    <row r="53" spans="1:12" ht="16.75" customHeight="1" x14ac:dyDescent="0.4">
      <c r="A53" s="15" t="s">
        <v>56</v>
      </c>
      <c r="B53" s="15">
        <v>3510</v>
      </c>
      <c r="C53" s="15">
        <v>1900</v>
      </c>
      <c r="D53" s="15">
        <v>7050</v>
      </c>
      <c r="E53" s="15">
        <v>131</v>
      </c>
      <c r="F53" s="15">
        <v>69</v>
      </c>
      <c r="G53" s="15">
        <v>252</v>
      </c>
      <c r="H53" s="62" t="s">
        <v>7</v>
      </c>
      <c r="I53" s="62" t="str">
        <f t="shared" si="0"/>
        <v>27;1900;7050;none</v>
      </c>
      <c r="J53" s="62" t="s">
        <v>222</v>
      </c>
      <c r="K53" s="62" t="str">
        <f t="shared" si="1"/>
        <v>27;69;252;none</v>
      </c>
      <c r="L53" s="62" t="s">
        <v>268</v>
      </c>
    </row>
    <row r="54" spans="1:12" ht="16.3" customHeight="1" x14ac:dyDescent="0.4">
      <c r="A54" s="15" t="s">
        <v>57</v>
      </c>
      <c r="B54" s="15">
        <v>4360</v>
      </c>
      <c r="C54" s="15">
        <v>3460</v>
      </c>
      <c r="D54" s="15">
        <v>5570</v>
      </c>
      <c r="E54" s="15">
        <v>260</v>
      </c>
      <c r="F54" s="15">
        <v>206</v>
      </c>
      <c r="G54" s="15">
        <v>331</v>
      </c>
      <c r="H54" s="62" t="s">
        <v>7</v>
      </c>
      <c r="I54" s="62" t="str">
        <f t="shared" si="0"/>
        <v>27;3460;5570;none</v>
      </c>
      <c r="J54" s="62" t="s">
        <v>223</v>
      </c>
      <c r="K54" s="62" t="str">
        <f t="shared" si="1"/>
        <v>27;206;331;none</v>
      </c>
      <c r="L54" s="62" t="s">
        <v>269</v>
      </c>
    </row>
    <row r="55" spans="1:12" ht="16.3" customHeight="1" x14ac:dyDescent="0.4">
      <c r="A55" s="15" t="s">
        <v>58</v>
      </c>
      <c r="B55" s="15">
        <v>133</v>
      </c>
      <c r="C55" s="15">
        <v>104</v>
      </c>
      <c r="D55" s="15">
        <v>173</v>
      </c>
      <c r="E55" s="15">
        <v>12.6</v>
      </c>
      <c r="F55" s="15">
        <v>9.6</v>
      </c>
      <c r="G55" s="15">
        <v>16.3</v>
      </c>
      <c r="H55" s="62" t="s">
        <v>7</v>
      </c>
      <c r="I55" s="62" t="str">
        <f t="shared" si="0"/>
        <v>27;104;173;none</v>
      </c>
      <c r="J55" s="62" t="s">
        <v>224</v>
      </c>
      <c r="K55" s="62" t="str">
        <f t="shared" si="1"/>
        <v>27;9,6;16,3;none</v>
      </c>
      <c r="L55" s="62" t="s">
        <v>314</v>
      </c>
    </row>
    <row r="56" spans="1:12" ht="16.3" customHeight="1" x14ac:dyDescent="0.4">
      <c r="A56" s="15" t="s">
        <v>1</v>
      </c>
      <c r="B56" s="15">
        <v>9040</v>
      </c>
      <c r="C56" s="15">
        <v>4470</v>
      </c>
      <c r="D56" s="15">
        <v>16300</v>
      </c>
      <c r="E56" s="15">
        <v>450</v>
      </c>
      <c r="F56" s="15">
        <v>213</v>
      </c>
      <c r="G56" s="15">
        <v>836</v>
      </c>
      <c r="H56" s="62" t="s">
        <v>7</v>
      </c>
      <c r="I56" s="62" t="str">
        <f t="shared" si="0"/>
        <v>27;4470;16300;none</v>
      </c>
      <c r="J56" s="62" t="s">
        <v>225</v>
      </c>
      <c r="K56" s="62" t="str">
        <f t="shared" si="1"/>
        <v>27;213;836;none</v>
      </c>
      <c r="L56" s="62" t="s">
        <v>270</v>
      </c>
    </row>
    <row r="57" spans="1:12" ht="16.3" customHeight="1" x14ac:dyDescent="0.4">
      <c r="A57" s="15" t="s">
        <v>59</v>
      </c>
      <c r="B57" s="15">
        <v>85000</v>
      </c>
      <c r="C57" s="15">
        <v>64600</v>
      </c>
      <c r="D57" s="15">
        <v>110000</v>
      </c>
      <c r="E57" s="15">
        <v>4560</v>
      </c>
      <c r="F57" s="15">
        <v>3700</v>
      </c>
      <c r="G57" s="15">
        <v>5650</v>
      </c>
      <c r="H57" s="62" t="s">
        <v>7</v>
      </c>
      <c r="I57" s="62" t="str">
        <f t="shared" si="0"/>
        <v>27;64600;110000;none</v>
      </c>
      <c r="J57" s="62" t="s">
        <v>226</v>
      </c>
      <c r="K57" s="62" t="str">
        <f t="shared" si="1"/>
        <v>27;3700;5650;none</v>
      </c>
      <c r="L57" s="62" t="s">
        <v>271</v>
      </c>
    </row>
    <row r="58" spans="1:12" ht="16.3" customHeight="1" x14ac:dyDescent="0.4">
      <c r="A58" s="15" t="s">
        <v>60</v>
      </c>
      <c r="B58" s="15">
        <v>169000</v>
      </c>
      <c r="C58" s="15">
        <v>128000</v>
      </c>
      <c r="D58" s="15">
        <v>219000</v>
      </c>
      <c r="E58" s="15">
        <v>8860</v>
      </c>
      <c r="F58" s="15">
        <v>7000</v>
      </c>
      <c r="G58" s="15">
        <v>11200</v>
      </c>
      <c r="H58" s="62" t="s">
        <v>7</v>
      </c>
      <c r="I58" s="62" t="str">
        <f t="shared" si="0"/>
        <v>27;128000;219000;none</v>
      </c>
      <c r="J58" s="62" t="s">
        <v>227</v>
      </c>
      <c r="K58" s="62" t="str">
        <f t="shared" si="1"/>
        <v>27;7000;11200;none</v>
      </c>
      <c r="L58" s="62" t="s">
        <v>272</v>
      </c>
    </row>
    <row r="59" spans="1:12" ht="16.3" customHeight="1" x14ac:dyDescent="0.4">
      <c r="A59" s="15" t="s">
        <v>61</v>
      </c>
      <c r="B59" s="15">
        <v>243000</v>
      </c>
      <c r="C59" s="15">
        <v>178000</v>
      </c>
      <c r="D59" s="15">
        <v>326000</v>
      </c>
      <c r="E59" s="15">
        <v>12500</v>
      </c>
      <c r="F59" s="15">
        <v>9650</v>
      </c>
      <c r="G59" s="15">
        <v>16200</v>
      </c>
      <c r="H59" s="15" t="s">
        <v>187</v>
      </c>
      <c r="I59" s="62" t="str">
        <f t="shared" si="0"/>
        <v>27;178000;326000;none</v>
      </c>
      <c r="J59" s="62" t="s">
        <v>228</v>
      </c>
      <c r="K59" s="62" t="str">
        <f t="shared" si="1"/>
        <v>27;9650;16200;none</v>
      </c>
      <c r="L59" s="62" t="s">
        <v>273</v>
      </c>
    </row>
    <row r="60" spans="1:12" ht="16.3" customHeight="1" x14ac:dyDescent="0.4">
      <c r="A60" s="15" t="s">
        <v>62</v>
      </c>
      <c r="B60" s="15">
        <v>208000</v>
      </c>
      <c r="C60" s="15">
        <v>165000</v>
      </c>
      <c r="D60" s="15">
        <v>263000</v>
      </c>
      <c r="E60" s="15">
        <v>12500</v>
      </c>
      <c r="F60" s="15">
        <v>10100</v>
      </c>
      <c r="G60" s="15">
        <v>15400</v>
      </c>
      <c r="H60" s="15" t="s">
        <v>187</v>
      </c>
      <c r="I60" s="62" t="str">
        <f t="shared" si="0"/>
        <v>27;165000;263000;none</v>
      </c>
      <c r="J60" s="62" t="s">
        <v>229</v>
      </c>
      <c r="K60" s="62" t="str">
        <f t="shared" si="1"/>
        <v>27;10100;15400;none</v>
      </c>
      <c r="L60" s="62" t="s">
        <v>274</v>
      </c>
    </row>
    <row r="61" spans="1:12" ht="17.8" customHeight="1" x14ac:dyDescent="0.4">
      <c r="A61" s="15" t="s">
        <v>63</v>
      </c>
      <c r="B61" s="15">
        <v>179</v>
      </c>
      <c r="C61" s="15">
        <v>110</v>
      </c>
      <c r="D61" s="15">
        <v>280</v>
      </c>
      <c r="E61" s="15">
        <v>12.1</v>
      </c>
      <c r="F61" s="15">
        <v>7.7</v>
      </c>
      <c r="G61" s="15">
        <v>18.600000000000001</v>
      </c>
      <c r="H61" s="15" t="s">
        <v>187</v>
      </c>
      <c r="I61" s="62" t="str">
        <f t="shared" si="0"/>
        <v>27;110;280;none</v>
      </c>
      <c r="J61" s="62" t="s">
        <v>230</v>
      </c>
      <c r="K61" s="62" t="str">
        <f t="shared" si="1"/>
        <v>27;7,7;18,6;none</v>
      </c>
      <c r="L61" s="62" t="s">
        <v>315</v>
      </c>
    </row>
    <row r="62" spans="1:12" ht="16.3" customHeight="1" x14ac:dyDescent="0.4">
      <c r="A62" s="15" t="s">
        <v>64</v>
      </c>
      <c r="B62" s="15">
        <v>5160</v>
      </c>
      <c r="C62" s="15">
        <v>4220</v>
      </c>
      <c r="D62" s="15">
        <v>6180</v>
      </c>
      <c r="E62" s="15">
        <v>376</v>
      </c>
      <c r="F62" s="15">
        <v>291</v>
      </c>
      <c r="G62" s="15">
        <v>469</v>
      </c>
      <c r="H62" s="15" t="s">
        <v>187</v>
      </c>
      <c r="I62" s="62" t="str">
        <f t="shared" si="0"/>
        <v>27;4220;6180;none</v>
      </c>
      <c r="J62" s="62" t="s">
        <v>231</v>
      </c>
      <c r="K62" s="62" t="str">
        <f t="shared" si="1"/>
        <v>27;291;469;none</v>
      </c>
      <c r="L62" s="62" t="s">
        <v>275</v>
      </c>
    </row>
    <row r="63" spans="1:12" ht="16.3" customHeight="1" x14ac:dyDescent="0.4">
      <c r="A63" s="15" t="s">
        <v>65</v>
      </c>
      <c r="B63" s="15">
        <v>18.899999999999999</v>
      </c>
      <c r="C63" s="15">
        <v>15.8</v>
      </c>
      <c r="D63" s="15">
        <v>23.5</v>
      </c>
      <c r="E63" s="15">
        <v>1.3</v>
      </c>
      <c r="F63" s="15">
        <v>1.1000000000000001</v>
      </c>
      <c r="G63" s="15">
        <v>1.5</v>
      </c>
      <c r="H63" s="15" t="s">
        <v>187</v>
      </c>
      <c r="I63" s="62" t="str">
        <f t="shared" si="0"/>
        <v>27;15,8;23,5;none</v>
      </c>
      <c r="J63" s="62" t="s">
        <v>255</v>
      </c>
      <c r="K63" s="62" t="str">
        <f t="shared" si="1"/>
        <v>27;1,1;1,5;none</v>
      </c>
      <c r="L63" s="62" t="s">
        <v>316</v>
      </c>
    </row>
    <row r="64" spans="1:12" ht="16.3" customHeight="1" x14ac:dyDescent="0.4">
      <c r="A64" s="15" t="s">
        <v>66</v>
      </c>
      <c r="B64" s="15">
        <v>697</v>
      </c>
      <c r="C64" s="15">
        <v>332</v>
      </c>
      <c r="D64" s="15">
        <v>2320</v>
      </c>
      <c r="E64" s="15">
        <v>58.9</v>
      </c>
      <c r="F64" s="15">
        <v>53.7</v>
      </c>
      <c r="G64" s="15">
        <v>66.5</v>
      </c>
      <c r="H64" s="15" t="s">
        <v>2</v>
      </c>
      <c r="I64" s="62" t="str">
        <f t="shared" si="0"/>
        <v>27;332;2320;none</v>
      </c>
      <c r="J64" s="62" t="s">
        <v>232</v>
      </c>
      <c r="K64" s="62" t="str">
        <f t="shared" si="1"/>
        <v>27;53,7;66,5;none</v>
      </c>
      <c r="L64" s="62" t="s">
        <v>317</v>
      </c>
    </row>
    <row r="65" spans="1:12" ht="16.3" customHeight="1" x14ac:dyDescent="0.4">
      <c r="A65" s="15" t="s">
        <v>67</v>
      </c>
      <c r="B65" s="15">
        <v>1260</v>
      </c>
      <c r="C65" s="15">
        <v>960</v>
      </c>
      <c r="D65" s="15">
        <v>1670</v>
      </c>
      <c r="E65" s="15">
        <v>74.900000000000006</v>
      </c>
      <c r="F65" s="15">
        <v>62.4</v>
      </c>
      <c r="G65" s="15">
        <v>91.8</v>
      </c>
      <c r="H65" s="15" t="s">
        <v>187</v>
      </c>
      <c r="I65" s="62" t="str">
        <f t="shared" si="0"/>
        <v>27;960;1670;none</v>
      </c>
      <c r="J65" s="62" t="s">
        <v>233</v>
      </c>
      <c r="K65" s="62" t="str">
        <f t="shared" si="1"/>
        <v>27;62,4;91,8;none</v>
      </c>
      <c r="L65" s="62" t="s">
        <v>318</v>
      </c>
    </row>
    <row r="66" spans="1:12" ht="16.75" customHeight="1" x14ac:dyDescent="0.4">
      <c r="A66" s="15" t="s">
        <v>68</v>
      </c>
      <c r="B66" s="15">
        <v>1270</v>
      </c>
      <c r="C66" s="15">
        <v>826</v>
      </c>
      <c r="D66" s="15">
        <v>2000</v>
      </c>
      <c r="E66" s="15">
        <v>90.7</v>
      </c>
      <c r="F66" s="15">
        <v>61.3</v>
      </c>
      <c r="G66" s="15">
        <v>140</v>
      </c>
      <c r="H66" s="15" t="s">
        <v>187</v>
      </c>
      <c r="I66" s="62" t="str">
        <f t="shared" si="0"/>
        <v>27;826;2000;none</v>
      </c>
      <c r="J66" s="62" t="s">
        <v>234</v>
      </c>
      <c r="K66" s="62" t="str">
        <f t="shared" si="1"/>
        <v>27;61,3;140;none</v>
      </c>
      <c r="L66" s="62" t="s">
        <v>319</v>
      </c>
    </row>
    <row r="67" spans="1:12" ht="66.25" customHeight="1" x14ac:dyDescent="0.45">
      <c r="A67" s="90"/>
      <c r="B67" s="90"/>
      <c r="C67" s="90"/>
      <c r="D67" s="90"/>
      <c r="E67" s="90"/>
      <c r="F67" s="90"/>
      <c r="G67" s="90"/>
      <c r="H67" s="90"/>
    </row>
    <row r="69" spans="1:12" x14ac:dyDescent="0.45">
      <c r="A69" s="65" t="s">
        <v>70</v>
      </c>
    </row>
    <row r="70" spans="1:12" x14ac:dyDescent="0.45">
      <c r="A70" s="67" t="s">
        <v>71</v>
      </c>
    </row>
    <row r="71" spans="1:12" x14ac:dyDescent="0.45">
      <c r="A71" s="66" t="s">
        <v>72</v>
      </c>
    </row>
    <row r="73" spans="1:12" x14ac:dyDescent="0.45">
      <c r="A73" s="73" t="s">
        <v>73</v>
      </c>
      <c r="B73" s="72"/>
      <c r="C73" s="72"/>
      <c r="D73" s="72"/>
      <c r="E73" s="72"/>
    </row>
  </sheetData>
  <mergeCells count="2">
    <mergeCell ref="A67:H67"/>
    <mergeCell ref="A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Cover</vt:lpstr>
      <vt:lpstr>Data</vt:lpstr>
      <vt:lpstr>__</vt:lpstr>
      <vt:lpstr>Paper_SI_extract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</dc:creator>
  <cp:lastModifiedBy>Stefan Pauliuk</cp:lastModifiedBy>
  <dcterms:created xsi:type="dcterms:W3CDTF">2024-12-03T08:34:12Z</dcterms:created>
  <dcterms:modified xsi:type="dcterms:W3CDTF">2025-03-15T11:49:27Z</dcterms:modified>
</cp:coreProperties>
</file>