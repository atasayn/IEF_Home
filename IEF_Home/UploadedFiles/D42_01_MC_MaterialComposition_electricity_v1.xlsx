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1A99644-43EB-4C66-9E4C-A282FCA46D43}" xr6:coauthVersionLast="47" xr6:coauthVersionMax="47" xr10:uidLastSave="{00000000-0000-0000-0000-000000000000}"/>
  <bookViews>
    <workbookView xWindow="-110" yWindow="-110" windowWidth="19420" windowHeight="10420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  <sheet name="raw_data_Wang2023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" i="2" l="1"/>
  <c r="M98" i="2" s="1"/>
  <c r="H99" i="2"/>
  <c r="H100" i="2"/>
  <c r="H101" i="2"/>
  <c r="H102" i="2"/>
  <c r="M102" i="2" s="1"/>
  <c r="H103" i="2"/>
  <c r="H104" i="2"/>
  <c r="H105" i="2"/>
  <c r="H106" i="2"/>
  <c r="M106" i="2" s="1"/>
  <c r="H107" i="2"/>
  <c r="H108" i="2"/>
  <c r="H109" i="2"/>
  <c r="H110" i="2"/>
  <c r="M110" i="2" s="1"/>
  <c r="H111" i="2"/>
  <c r="H112" i="2"/>
  <c r="H113" i="2"/>
  <c r="H114" i="2"/>
  <c r="H115" i="2"/>
  <c r="H116" i="2"/>
  <c r="H117" i="2"/>
  <c r="H118" i="2"/>
  <c r="M118" i="2" s="1"/>
  <c r="H119" i="2"/>
  <c r="H120" i="2"/>
  <c r="H121" i="2"/>
  <c r="H122" i="2"/>
  <c r="M122" i="2" s="1"/>
  <c r="H123" i="2"/>
  <c r="H124" i="2"/>
  <c r="H125" i="2"/>
  <c r="H126" i="2"/>
  <c r="M126" i="2" s="1"/>
  <c r="H127" i="2"/>
  <c r="H128" i="2"/>
  <c r="H129" i="2"/>
  <c r="M129" i="2" s="1"/>
  <c r="H130" i="2"/>
  <c r="M130" i="2" s="1"/>
  <c r="H131" i="2"/>
  <c r="H132" i="2"/>
  <c r="H133" i="2"/>
  <c r="H134" i="2"/>
  <c r="M134" i="2" s="1"/>
  <c r="H135" i="2"/>
  <c r="M135" i="2" s="1"/>
  <c r="H136" i="2"/>
  <c r="H137" i="2"/>
  <c r="M137" i="2" s="1"/>
  <c r="H138" i="2"/>
  <c r="M138" i="2" s="1"/>
  <c r="H139" i="2"/>
  <c r="H140" i="2"/>
  <c r="H141" i="2"/>
  <c r="H142" i="2"/>
  <c r="M142" i="2" s="1"/>
  <c r="H143" i="2"/>
  <c r="H144" i="2"/>
  <c r="H145" i="2"/>
  <c r="M145" i="2" s="1"/>
  <c r="H146" i="2"/>
  <c r="M146" i="2" s="1"/>
  <c r="H147" i="2"/>
  <c r="H148" i="2"/>
  <c r="H149" i="2"/>
  <c r="M149" i="2" s="1"/>
  <c r="H150" i="2"/>
  <c r="M150" i="2" s="1"/>
  <c r="H151" i="2"/>
  <c r="M151" i="2" s="1"/>
  <c r="H152" i="2"/>
  <c r="M152" i="2" s="1"/>
  <c r="H153" i="2"/>
  <c r="H154" i="2"/>
  <c r="M154" i="2" s="1"/>
  <c r="H155" i="2"/>
  <c r="H156" i="2"/>
  <c r="M156" i="2" s="1"/>
  <c r="M114" i="2"/>
  <c r="M119" i="2"/>
  <c r="M147" i="2"/>
  <c r="M140" i="2"/>
  <c r="M131" i="2"/>
  <c r="M115" i="2"/>
  <c r="M100" i="2"/>
  <c r="M143" i="2"/>
  <c r="M124" i="2"/>
  <c r="M132" i="2"/>
  <c r="M139" i="2"/>
  <c r="M148" i="2"/>
  <c r="M153" i="2"/>
  <c r="M155" i="2"/>
  <c r="M144" i="2"/>
  <c r="M141" i="2"/>
  <c r="M136" i="2"/>
  <c r="M133" i="2"/>
  <c r="M128" i="2"/>
  <c r="M127" i="2"/>
  <c r="M125" i="2"/>
  <c r="M123" i="2"/>
  <c r="M121" i="2"/>
  <c r="M120" i="2"/>
  <c r="M117" i="2"/>
  <c r="M116" i="2"/>
  <c r="M113" i="2"/>
  <c r="M108" i="2"/>
  <c r="M109" i="2"/>
  <c r="M111" i="2"/>
  <c r="M112" i="2"/>
  <c r="M107" i="2"/>
  <c r="M105" i="2"/>
  <c r="M104" i="2"/>
  <c r="M103" i="2"/>
  <c r="M99" i="2"/>
  <c r="M101" i="2"/>
  <c r="L113" i="2" l="1"/>
  <c r="L114" i="2" s="1"/>
  <c r="L115" i="2" s="1"/>
  <c r="L116" i="2" s="1"/>
  <c r="L117" i="2" s="1"/>
  <c r="L118" i="2" s="1"/>
  <c r="L119" i="2" s="1"/>
  <c r="L120" i="2" s="1"/>
</calcChain>
</file>

<file path=xl/sharedStrings.xml><?xml version="1.0" encoding="utf-8"?>
<sst xmlns="http://schemas.openxmlformats.org/spreadsheetml/2006/main" count="5355" uniqueCount="1100">
  <si>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</si>
  <si>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</si>
  <si>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</si>
  <si>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</si>
  <si>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</si>
  <si>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</si>
  <si>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</si>
  <si>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</si>
  <si>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</si>
  <si>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</si>
  <si>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</si>
  <si>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</si>
  <si>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</si>
  <si>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</si>
  <si>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</si>
  <si>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</si>
  <si>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</si>
  <si>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</si>
  <si>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</si>
  <si>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</si>
  <si>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</si>
  <si>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</si>
  <si>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</si>
  <si>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</si>
  <si>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</si>
  <si>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</si>
  <si>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</si>
  <si>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</si>
  <si>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</si>
  <si>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</si>
  <si>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</si>
  <si>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</si>
  <si>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</si>
  <si>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</si>
  <si>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</si>
  <si>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</si>
  <si>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</si>
  <si>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</si>
  <si>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</si>
  <si>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</si>
  <si>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</si>
  <si>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</si>
  <si>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</si>
  <si>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</si>
  <si>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</si>
  <si>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uncertainy info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</si>
  <si>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</si>
  <si>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</si>
  <si>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</si>
  <si>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</si>
  <si>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</si>
  <si>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</si>
  <si>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</si>
  <si>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</si>
  <si>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</si>
  <si>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</si>
  <si>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</si>
  <si>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</si>
  <si>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</si>
  <si>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</si>
  <si>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</si>
  <si>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</si>
  <si>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</si>
  <si>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</si>
  <si>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</si>
  <si>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</si>
  <si>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</si>
  <si>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</si>
  <si>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</si>
  <si>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</si>
  <si>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</si>
  <si>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</si>
  <si>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</si>
  <si>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</si>
  <si>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</si>
  <si>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</si>
  <si>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</si>
  <si>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</si>
  <si>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</si>
  <si>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</si>
  <si>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</si>
  <si>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</si>
  <si>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</si>
  <si>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</si>
  <si>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</si>
  <si>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</si>
  <si>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[Layer] of [eng. Material] in [product_type] in [sector] in [year of producing] in [region] for [CE measure] is [value].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</si>
  <si>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</si>
  <si>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</si>
  <si>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</si>
  <si>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</si>
  <si>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</si>
  <si>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</si>
  <si>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</si>
  <si>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</si>
  <si>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</si>
  <si>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</si>
  <si>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</si>
  <si>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</si>
  <si>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</si>
  <si>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</si>
  <si>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</si>
  <si>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</si>
  <si>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</si>
  <si>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</si>
  <si>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</si>
  <si>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</si>
  <si>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</si>
  <si>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</si>
  <si>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</si>
  <si>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</si>
  <si>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</si>
  <si>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</si>
  <si>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</si>
  <si>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</si>
  <si>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</si>
  <si>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</si>
  <si>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</si>
  <si>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concrete</t>
  </si>
  <si>
    <t>kg</t>
  </si>
  <si>
    <t>electricity</t>
  </si>
  <si>
    <t>Generation - Hydro (run-of-river)</t>
  </si>
  <si>
    <t>various</t>
  </si>
  <si>
    <t>Global</t>
  </si>
  <si>
    <t>steel</t>
  </si>
  <si>
    <t>Mass per power capacity</t>
  </si>
  <si>
    <t>g</t>
  </si>
  <si>
    <t>W</t>
  </si>
  <si>
    <t>13; 0.44*value; 1.56*value</t>
  </si>
  <si>
    <t>[kalt2021]_material_intensity</t>
  </si>
  <si>
    <t>input data based on multiple sources</t>
  </si>
  <si>
    <t>see log entry</t>
  </si>
  <si>
    <t>13; 0.48*value; 1.52*value</t>
  </si>
  <si>
    <t>copper</t>
  </si>
  <si>
    <t>3.7</t>
  </si>
  <si>
    <t>13; 0.14*value; 1.86*value</t>
  </si>
  <si>
    <t>aluminium</t>
  </si>
  <si>
    <t>0.6</t>
  </si>
  <si>
    <t>13; 0.5*value; 1.5*value</t>
  </si>
  <si>
    <t>Generation - Hydro (storage)</t>
  </si>
  <si>
    <t>3.2</t>
  </si>
  <si>
    <t>0.3</t>
  </si>
  <si>
    <t>Generation - Geothermal</t>
  </si>
  <si>
    <t>13; 1.86*value; 0.14*value</t>
  </si>
  <si>
    <t>1.7</t>
  </si>
  <si>
    <t>13; 0.59*value; 1.41*value</t>
  </si>
  <si>
    <t>5.3</t>
  </si>
  <si>
    <t>13; 0.72*value; 1.28*value</t>
  </si>
  <si>
    <t>Generation - Wind Onshore</t>
  </si>
  <si>
    <t>13; 1.3*value; 0.7*value</t>
  </si>
  <si>
    <t>13; 0.51*value; 1.49*value</t>
  </si>
  <si>
    <t>3.6</t>
  </si>
  <si>
    <t>13; 0.36*value; 1.64*value</t>
  </si>
  <si>
    <t>2.7</t>
  </si>
  <si>
    <t>13; 0.3*value; 1.7*value</t>
  </si>
  <si>
    <t>Generation - Wind Offshore</t>
  </si>
  <si>
    <t>13; 0.63*value; 1.38*value</t>
  </si>
  <si>
    <t>13; 0*value; 2*value</t>
  </si>
  <si>
    <t>6.8</t>
  </si>
  <si>
    <t>13; 0.21*value; 1.79*value</t>
  </si>
  <si>
    <t>Generation - PV (rooftop)</t>
  </si>
  <si>
    <t>13; 0.28*value; 1.72*value</t>
  </si>
  <si>
    <t>13; 0.31*value; 1.69*value</t>
  </si>
  <si>
    <t>31.5</t>
  </si>
  <si>
    <t>13; 0.41*value; 1.59*value</t>
  </si>
  <si>
    <t>Generation - PV (ground-mntd.)</t>
  </si>
  <si>
    <t>13; 1.59*value; 0.41*value</t>
  </si>
  <si>
    <t>Generation - CSP</t>
  </si>
  <si>
    <t>13; 0.33*value; 1.67*value</t>
  </si>
  <si>
    <t>13; 0.22*value; 1.78*value</t>
  </si>
  <si>
    <t>3.9</t>
  </si>
  <si>
    <t>13.3</t>
  </si>
  <si>
    <t>13; 0.2*value; 1.8*value</t>
  </si>
  <si>
    <t>Generation - Bioenergy</t>
  </si>
  <si>
    <t>13; 0.35*value; 1.65*value</t>
  </si>
  <si>
    <t>13; 0.7*value; 1.3*value</t>
  </si>
  <si>
    <t>2.5</t>
  </si>
  <si>
    <t>2.3</t>
  </si>
  <si>
    <t>13; 0.43*value; 1.57*value</t>
  </si>
  <si>
    <t>Generation - Coal</t>
  </si>
  <si>
    <t>13; 0.46*value; 1.54*value</t>
  </si>
  <si>
    <t>13; -0.5*value; 2.5*value</t>
  </si>
  <si>
    <t>1.6</t>
  </si>
  <si>
    <t>13; 0.13*value; 1.88*value</t>
  </si>
  <si>
    <t>Generation - Gas</t>
  </si>
  <si>
    <t>13; 0.75*value; 1.25*value</t>
  </si>
  <si>
    <t>1.1</t>
  </si>
  <si>
    <t>13; 0.55*value; 1.45*value</t>
  </si>
  <si>
    <t>0.9</t>
  </si>
  <si>
    <t>13; 0.11*value; 1.89*value</t>
  </si>
  <si>
    <t>Generation - Oil</t>
  </si>
  <si>
    <t>13; 0.45*value; 1.55*value</t>
  </si>
  <si>
    <t>13; 0.79*value; 1.21*value</t>
  </si>
  <si>
    <t>13; 0.67*value; 1.33*value</t>
  </si>
  <si>
    <t>13; -3*value; 5*value</t>
  </si>
  <si>
    <t>Generation - Nuclear</t>
  </si>
  <si>
    <t>13; 0.78*value; 1.22*value</t>
  </si>
  <si>
    <t>13; 0.62*value; 1.38*value</t>
  </si>
  <si>
    <t>8.2</t>
  </si>
  <si>
    <t>13; 0.17*value; 1.83*value</t>
  </si>
  <si>
    <t>Transmission - HV lines - underground</t>
  </si>
  <si>
    <t>Mass per km line length</t>
  </si>
  <si>
    <t>km</t>
  </si>
  <si>
    <t>[lines2024]_material_intensity</t>
  </si>
  <si>
    <t>combined average of a 150 kV &amp; a 400 kV line (includes masts, foundation, conductors, insulators)</t>
  </si>
  <si>
    <t>literature_id: 25</t>
  </si>
  <si>
    <t>zinc</t>
  </si>
  <si>
    <t>glass</t>
  </si>
  <si>
    <t>Transmission - HV lines - overhead</t>
  </si>
  <si>
    <t>combined average of a 150 kV &amp; a HVDC underground cable line</t>
  </si>
  <si>
    <t>asphalt</t>
  </si>
  <si>
    <t>lead</t>
  </si>
  <si>
    <t>plastics</t>
  </si>
  <si>
    <t>Transmission - MV lines - overhead</t>
  </si>
  <si>
    <t>unknown</t>
  </si>
  <si>
    <t>combined average of 3 different overhead lines at 11kV</t>
  </si>
  <si>
    <t>literature_id: 26</t>
  </si>
  <si>
    <t>wood</t>
  </si>
  <si>
    <t>Transmission - MV lines - underground</t>
  </si>
  <si>
    <t>combined average of 2 different underground lines at 11kV</t>
  </si>
  <si>
    <t>Denmark</t>
  </si>
  <si>
    <t>combined average of 2 50 kV lines &amp; a 10 kV line (all underground)</t>
  </si>
  <si>
    <t>literature_id: 27</t>
  </si>
  <si>
    <t>Transmission - LV lines - underground</t>
  </si>
  <si>
    <t>0.4 kV distribution</t>
  </si>
  <si>
    <t>Transmission - LV lines - overhead</t>
  </si>
  <si>
    <t>combined average of 3 overhead line types (between 110 &amp; 750 kV)</t>
  </si>
  <si>
    <t>literature_id: 28</t>
  </si>
  <si>
    <t>overhead line (&lt;100-110 kV)</t>
  </si>
  <si>
    <t>&lt; 1 kV line, overhead</t>
  </si>
  <si>
    <t>Netherlands</t>
  </si>
  <si>
    <t>includes towers (assumed 3.06 towers per km, own assumptions) and an assumption of 12 parallel HV cables for each km of circuit based on personal communication with the authors (19-08-2022)</t>
  </si>
  <si>
    <t>literature_id: 29</t>
  </si>
  <si>
    <t>Cement</t>
  </si>
  <si>
    <t>ton</t>
  </si>
  <si>
    <t>GW</t>
  </si>
  <si>
    <t>[wang2023]_material_intensity</t>
  </si>
  <si>
    <t>This cement is related with the concrete reported</t>
  </si>
  <si>
    <t>literature_id: 30</t>
  </si>
  <si>
    <t>Steel</t>
  </si>
  <si>
    <t>Copper</t>
  </si>
  <si>
    <t>Aluminum</t>
  </si>
  <si>
    <t>Fiberglass (ceramic/glass)</t>
  </si>
  <si>
    <t>Average from 2 to 5 MW</t>
  </si>
  <si>
    <t>Generation - PV</t>
  </si>
  <si>
    <t>c-Si</t>
  </si>
  <si>
    <t>Glass</t>
  </si>
  <si>
    <t>Silicon</t>
  </si>
  <si>
    <t>Ag</t>
  </si>
  <si>
    <t>Mn</t>
  </si>
  <si>
    <t>Ni</t>
  </si>
  <si>
    <t>Generation - Hydro</t>
  </si>
  <si>
    <t>Generation - Coal CCS</t>
  </si>
  <si>
    <t>Generation - Gas CCS</t>
  </si>
  <si>
    <t>Generation - Biomass</t>
  </si>
  <si>
    <t>Generation - Biomass CCS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</si>
  <si>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</si>
  <si>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</si>
  <si>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</si>
  <si>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</si>
  <si>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</si>
  <si>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</si>
  <si>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</si>
  <si>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</si>
  <si>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</si>
  <si>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</si>
  <si>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</si>
  <si>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</si>
  <si>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</si>
  <si>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</si>
  <si>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</si>
  <si>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electricity generation technologies material intensity</t>
  </si>
  <si>
    <t>07.02.24</t>
  </si>
  <si>
    <t>zotin</t>
  </si>
  <si>
    <t>Multiple sources used in Kalt  et al., 2021</t>
  </si>
  <si>
    <t>1 to 23</t>
  </si>
  <si>
    <t>[deetman2021]_material_intensity</t>
  </si>
  <si>
    <t>Material intensities of electricity generation, storage &amp; distribution</t>
  </si>
  <si>
    <t>deetman</t>
  </si>
  <si>
    <t>Data used in Deetman et al 2021, based on multiple sources</t>
  </si>
  <si>
    <t>Material intensities of transmission lines at various voltage levels</t>
  </si>
  <si>
    <t>Material compositon data per km of transmission/distribution line collected from various studies and processed to represent average values for high voltage (HV: typically &gt;135kV) medium voltage (MV: typically 1-135kV) and low voltage (LV: &lt;1kV) grid lines</t>
  </si>
  <si>
    <t>25 to</t>
  </si>
  <si>
    <t>03/15/2024</t>
  </si>
  <si>
    <t>fortes</t>
  </si>
  <si>
    <t>Multiple sources used in Wang  et al., 2023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</si>
  <si>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</si>
  <si>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</si>
  <si>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</si>
  <si>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</si>
  <si>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</si>
  <si>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</si>
  <si>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</si>
  <si>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</si>
  <si>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</si>
  <si>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</si>
  <si>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</si>
  <si>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</si>
  <si>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</si>
  <si>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</si>
  <si>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</si>
  <si>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Deriving life cycle assessment coefficients for application in integrated assessment modelling</t>
  </si>
  <si>
    <t>Environ. Modell. Softw</t>
  </si>
  <si>
    <t>10.1016/j.envsoft.2017.09.010</t>
  </si>
  <si>
    <t>M.F. Ashby</t>
  </si>
  <si>
    <t>Materials for low-carbon power</t>
  </si>
  <si>
    <t>Materials and the Environment</t>
  </si>
  <si>
    <t>10.1016/B978-0-12-385971-6.00012-9</t>
  </si>
  <si>
    <t>A. Beylot, D. Guyonnet, S. Muller, S. Vaxelaire, J. Villeneuve</t>
  </si>
  <si>
    <t>Mineral raw material requirements and associated climate-change impacts of the French energy transition by 2050</t>
  </si>
  <si>
    <t>J. Clean. Prod.</t>
  </si>
  <si>
    <t>10.1016/j.jclepro.2018.10.154</t>
  </si>
  <si>
    <t>A. Bonou, A. Laurent, S.I. Olsen</t>
  </si>
  <si>
    <t>Life cycle assessment of onshore and offshore wind energy-from theory to application</t>
  </si>
  <si>
    <t>Appl. Energy,</t>
  </si>
  <si>
    <t>10.1016/j.apenergy.2016.07.058</t>
  </si>
  <si>
    <t>I. Capellán-Pérez, C. de Castro, L.J. Miguel González</t>
  </si>
  <si>
    <t>Dynamic Energy Return on Energy Investment (EROI) and material requirements in scenarios of global transition to renewable energies</t>
  </si>
  <si>
    <t>Energy Strategy Rev.</t>
  </si>
  <si>
    <t>100399, 10.1016/j.esr.2019.100399</t>
  </si>
  <si>
    <t>J. Chipindula, V. Botlaguduru, H. Du, R. Kommalapati, Z. Huque</t>
  </si>
  <si>
    <t>Life cycle environmental impact of onshore and offshore wind farms in texas</t>
  </si>
  <si>
    <t>Sustainability</t>
  </si>
  <si>
    <t>10.3390/su10062022</t>
  </si>
  <si>
    <t>report</t>
  </si>
  <si>
    <t>R. Dones, C. Bauer, R. Bollinger, B. Burger, M. Faist Emmenegger, R. Frischknecht, T. Heck, N. Jungbluth, A. Röder, M. Tuchschmid</t>
  </si>
  <si>
    <t>Life Cycle Inventories of Energy Systems: Results for Current Systems in Switzerland and Other UCTE Countries</t>
  </si>
  <si>
    <t>Ecoinvent Report No5</t>
  </si>
  <si>
    <t>A. Elshkaki, T.E. Graedel</t>
  </si>
  <si>
    <t>Dynamic analysis of the global metals flows and stocks in electricity generation technologies</t>
  </si>
  <si>
    <t>10.1016/j.jclepro.2013.07.003</t>
  </si>
  <si>
    <t>Z. Kis, N. Pandya, R.H.E.M Koppelaar</t>
  </si>
  <si>
    <t>Electricity generation technologies: comparison of materials use, energy return on investment, jobs creation and CO 2 emissions reduction</t>
  </si>
  <si>
    <t>Energy Policy</t>
  </si>
  <si>
    <t>10.1016/j.enpol.2018.05.033</t>
  </si>
  <si>
    <t>F. Li, Z. Ye, X. Xiao, J. Xu, G. Liu</t>
  </si>
  <si>
    <t>Material stocks and flows of power infrastructure development in China</t>
  </si>
  <si>
    <t>Resour. Conservat. Recycl</t>
  </si>
  <si>
    <t>10.1016/j.resconrec.2020.104906</t>
  </si>
  <si>
    <t>G. Luderer, M. Pehl, A. Arvesen, T. Gibon, B.L. Bodirsky, H.S. de Boer, O. Fricko, M. Hejazi, F. Humpenöder, G. Iyer, S. Mima, I. Mouratiadou, R.C. Pietzcker, A. Popp, M. van den Berg, D. van Vuuren, E.G. Hertwich</t>
  </si>
  <si>
    <t>Environmental co-benefits and adverse side-effects of alternative power sector decarbonization strategies</t>
  </si>
  <si>
    <t>Nat. Commun.</t>
  </si>
  <si>
    <t>10.1038/s41467-019-13067-8</t>
  </si>
  <si>
    <t>A. Månberger, B. Stenqvist</t>
  </si>
  <si>
    <t>Global metal flows in the renewable energy transition: exploring the effects of substitutes, technological mix and development</t>
  </si>
  <si>
    <t>10.1016/j.enpol.2018.04.056</t>
  </si>
  <si>
    <t>R.L. Moss, E. Tzimas, H. Kara, P. Willis, J. Kooroshy</t>
  </si>
  <si>
    <t>The potential risks from metals bottlenecks to the deployment of Strategic Energy Technologies</t>
  </si>
  <si>
    <t>10.1016/j.enpol.2012.12.053</t>
  </si>
  <si>
    <t>S. Pacca, A. Horvath</t>
  </si>
  <si>
    <t>Greenhouse gas emissions from building and operating electric power plants in the upper Colorado river basin</t>
  </si>
  <si>
    <t>Environ. Sci. Technol., </t>
  </si>
  <si>
    <t>3194-3200, 10.1021/es0155884</t>
  </si>
  <si>
    <t>K. Tokimatsu, M. Höök, B. McLellan, H. Wachtmeister, S. Murakami, R. Yasuoka, M. Nishio</t>
  </si>
  <si>
    <t>Energy modeling approach to the global energy-mineral nexus: exploring metal requirements and the well-below 2°C target with 100 percent renewable energy</t>
  </si>
  <si>
    <t>10.1016/j.apenergy.2018.05.047</t>
  </si>
  <si>
    <t>A. Valero, A. Valero, G. Calvo, A. Ortego</t>
  </si>
  <si>
    <t>Material bottlenecks in the future development of green technologies</t>
  </si>
  <si>
    <t>Renew. Sustain. Energy Rev</t>
  </si>
  <si>
    <t>10.1016/j.rser.2018.05.041</t>
  </si>
  <si>
    <t>O. Vidal, B. Goffé, N. Arndt</t>
  </si>
  <si>
    <t>Metals for a low-carbon society</t>
  </si>
  <si>
    <t>Nat. Geosci.</t>
  </si>
  <si>
    <t>10.1038/ngeo1993</t>
  </si>
  <si>
    <t>EPD</t>
  </si>
  <si>
    <t>The International EPD System (</t>
  </si>
  <si>
    <t>EPD Database</t>
  </si>
  <si>
    <t>Siemens Gamesa</t>
  </si>
  <si>
    <t>Environmental Product Declaration SG 8.0-167 DD</t>
  </si>
  <si>
    <t>life-cycle inventory data</t>
  </si>
  <si>
    <t>International Institute for Sustainability Analysis and Strategy,</t>
  </si>
  <si>
    <t>GEMIS 4.9—Global Emissions Model for integrated Systems</t>
  </si>
  <si>
    <t>Darmstadt, Germany </t>
  </si>
  <si>
    <t>http://iinas.org/gemis-download.html</t>
  </si>
  <si>
    <t>J.M. Bödeker, M. Bauer, M. Pehnt</t>
  </si>
  <si>
    <t>Aluminium and Renewable Energy Systems – Prospects For the Sustainable Generation of Electricity and Heat</t>
  </si>
  <si>
    <t>ifeu - Institut für Energie- und Umweltforschung Heidelberg GmbH (2010)</t>
  </si>
  <si>
    <t>IRENA</t>
  </si>
  <si>
    <t>Renewable Energy benefits: Leveraging Local Capacity for Solar PV</t>
  </si>
  <si>
    <t>E. Rietveld, H. Boonman, T. van Harmelen, M. Hauck, T. Bastein</t>
  </si>
  <si>
    <t>Global Energy Transitions and Metal Demand. An Introduction and Circular Economy Perspectives</t>
  </si>
  <si>
    <t>TNO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</si>
  <si>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</si>
  <si>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</si>
  <si>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</si>
  <si>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</si>
  <si>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see raw data sheets</t>
  </si>
  <si>
    <t>Jorge, Hawkins, Hertwich</t>
  </si>
  <si>
    <t>Life cycle assessment of electricity transmission and distribution—part 1: power lines and cables</t>
  </si>
  <si>
    <t xml:space="preserve"> The International Journal of Life Cycle Assessment</t>
  </si>
  <si>
    <t>https://doi.org/10.1007/s11367-011-0335-1</t>
  </si>
  <si>
    <t>Jones, McManus</t>
  </si>
  <si>
    <t>Life-cycle assessment of 11 kV electrical overhead lines and underground cables</t>
  </si>
  <si>
    <t>Journal of Cleaner Production</t>
  </si>
  <si>
    <t>https://doi.org/10.1016/j.jclepro.2010.05.008</t>
  </si>
  <si>
    <t xml:space="preserve">Turconi, Simonsen, Byriel, Astrup </t>
  </si>
  <si>
    <t>Life cycle assessment of the Danish electricity distribution network</t>
  </si>
  <si>
    <t>https://doi.org/10.1007/s11367-013-0632-y</t>
  </si>
  <si>
    <t>G. Kalt, P. Thunshirn, D. Wiedenhofer, F. Krausmann, W. Haas, H. Haberl</t>
  </si>
  <si>
    <t>Material stocks in global electricity infrastructures – An empirical analysis of the power sector's stock-flow-service nexus</t>
  </si>
  <si>
    <t>https://doi.org/10.1016/j.resconrec.2021.105723</t>
  </si>
  <si>
    <t>J. van Oorschot, B. Sprecher, B. Roelofs, J. van der Horst, E. van der Voet</t>
  </si>
  <si>
    <t>Towards a low-carbon and circular economy: Scenarios for metal stocks and flows in the Dutch electricity system</t>
  </si>
  <si>
    <t>https://doi.org/10.1016/j.resconrec.2021.106105</t>
  </si>
  <si>
    <t>Seaver Wang,  Zeke Hausfather, Steven Davis, Juzel Lloyd, Erik B. Olson, Lauren Liebermann, Guido D. Núñez-Mujica, Jameson McBride</t>
  </si>
  <si>
    <t>Future demand for electricity generation materials under different climate mitigation scenarios</t>
  </si>
  <si>
    <t>Joule</t>
  </si>
  <si>
    <t>https://doi.org/10.1016/j.joule.2023.01.001</t>
  </si>
  <si>
    <t>see raw_data_Wang2023</t>
  </si>
  <si>
    <t>Raw tables/data could be directly pasted here :)</t>
  </si>
  <si>
    <t>literature_id: 24</t>
  </si>
  <si>
    <t>Composition of Electricity Generation Technologies (in g/MW)</t>
  </si>
  <si>
    <t>Aluminium</t>
  </si>
  <si>
    <t>Concrete</t>
  </si>
  <si>
    <t>Plastics</t>
  </si>
  <si>
    <t>Cu</t>
  </si>
  <si>
    <t>Nd</t>
  </si>
  <si>
    <t>Co</t>
  </si>
  <si>
    <t>Pb</t>
  </si>
  <si>
    <t>Solar PV</t>
  </si>
  <si>
    <t>CSP</t>
  </si>
  <si>
    <t>Wind onshore</t>
  </si>
  <si>
    <t>Wind offshore</t>
  </si>
  <si>
    <t>Hydro</t>
  </si>
  <si>
    <t>Other Renewables</t>
  </si>
  <si>
    <t>Nuclear</t>
  </si>
  <si>
    <t>Conv. Coal</t>
  </si>
  <si>
    <t>Conv. Oil</t>
  </si>
  <si>
    <t>Conv. Natural Gas</t>
  </si>
  <si>
    <t>Waste</t>
  </si>
  <si>
    <t>IGCC</t>
  </si>
  <si>
    <t>OGCC</t>
  </si>
  <si>
    <t>NG CC</t>
  </si>
  <si>
    <t>Biomass CC</t>
  </si>
  <si>
    <t>Coal + CCS</t>
  </si>
  <si>
    <t>Oil/Coal + CCS</t>
  </si>
  <si>
    <t>Natural Gas + CCS</t>
  </si>
  <si>
    <t>Biomass + CCS</t>
  </si>
  <si>
    <t>CHP Coal</t>
  </si>
  <si>
    <t>CHP Oil</t>
  </si>
  <si>
    <t>CHP Natural Gas</t>
  </si>
  <si>
    <t>CHP Biomass</t>
  </si>
  <si>
    <t>CHP Coal + CCS</t>
  </si>
  <si>
    <t>CHP Oil + CCS</t>
  </si>
  <si>
    <t>CHP Natural Gas + CCS</t>
  </si>
  <si>
    <t>CHP Biomass + CCS</t>
  </si>
  <si>
    <t>Composition of grid lines (in kg/km line length)</t>
  </si>
  <si>
    <t>HV overhead</t>
  </si>
  <si>
    <t>HV underground</t>
  </si>
  <si>
    <t>MV overhead</t>
  </si>
  <si>
    <t>MV underground</t>
  </si>
  <si>
    <t>LV overhead</t>
  </si>
  <si>
    <t>LV underground</t>
  </si>
  <si>
    <t>Composition of transformer substations (in kg/unit)</t>
  </si>
  <si>
    <t>Hv Substation</t>
  </si>
  <si>
    <t>Mv Substation</t>
  </si>
  <si>
    <t>Lv Substation</t>
  </si>
  <si>
    <t>Hv Transformer</t>
  </si>
  <si>
    <t>Mv Transformer</t>
  </si>
  <si>
    <t>Lv Transformer</t>
  </si>
  <si>
    <t>Composition of electricity storage technologies (in fraction of total weight)</t>
  </si>
  <si>
    <t>Flywheel</t>
  </si>
  <si>
    <t>Compressed Air</t>
  </si>
  <si>
    <t>Hydrogen FC</t>
  </si>
  <si>
    <t>NiMH</t>
  </si>
  <si>
    <t>Deep-cycle Lead-Acid</t>
  </si>
  <si>
    <t>LMO</t>
  </si>
  <si>
    <t>NMC</t>
  </si>
  <si>
    <t>NCA</t>
  </si>
  <si>
    <t>LFP</t>
  </si>
  <si>
    <t>LTO</t>
  </si>
  <si>
    <t>Zinc-Bromide</t>
  </si>
  <si>
    <t>Vanadium Redox</t>
  </si>
  <si>
    <t>Sodium-Sulfur</t>
  </si>
  <si>
    <t>ZEBRA</t>
  </si>
  <si>
    <t>Lithium Sulfur</t>
  </si>
  <si>
    <t xml:space="preserve">Lithium Ceramic </t>
  </si>
  <si>
    <t>Lithium-air</t>
  </si>
  <si>
    <t>PHS</t>
  </si>
  <si>
    <t>Weight of electricity storage technologies (per unit of storage capacity, i.e. in kg/kWh)</t>
  </si>
  <si>
    <t>kg/kWh</t>
  </si>
  <si>
    <t>Assuming that for onshore wind turbines, material use of non-RE materials is the same for DD vs AG types unless explicitly stated in source. Likewise for offshore turbines.</t>
  </si>
  <si>
    <t>Technology</t>
  </si>
  <si>
    <t>MateriAluminum</t>
  </si>
  <si>
    <t>Intensity value (tons/GW)</t>
  </si>
  <si>
    <t>Source</t>
  </si>
  <si>
    <t>Onshore_DD_PMG</t>
  </si>
  <si>
    <t>onshore wind turbine with permanent magnet gearbox direct drive</t>
  </si>
  <si>
    <t>Assuming that onshore and offshore PM turbines have similar intensitites of rare earth usage</t>
  </si>
  <si>
    <t>Garrett + Ronde 2011</t>
  </si>
  <si>
    <t>Onshore_AG</t>
  </si>
  <si>
    <t>onshore wind turbine with asynchronous gearbox drive</t>
  </si>
  <si>
    <t>GREEN = final values (precise shading of green is immaterial)</t>
  </si>
  <si>
    <t>Offshore_DD_PMG</t>
  </si>
  <si>
    <t>offshore wind turbine with permanent magnet gearbox direct drive</t>
  </si>
  <si>
    <t>RED = rejected values</t>
  </si>
  <si>
    <t>Wilburn 2011</t>
  </si>
  <si>
    <t>Offshore_AG</t>
  </si>
  <si>
    <t>offshore wind turbine with asynchronous gearbox drive</t>
  </si>
  <si>
    <t>CSI_PV</t>
  </si>
  <si>
    <t>crystalline silicon solar photovoltaic</t>
  </si>
  <si>
    <t>WIND</t>
  </si>
  <si>
    <t>CIGS</t>
  </si>
  <si>
    <t>copper indium gallium selenide thin-film solar photovoltaic</t>
  </si>
  <si>
    <t>2015 Razdan + Garrett (a)</t>
  </si>
  <si>
    <t>CDTE</t>
  </si>
  <si>
    <t>cadmium telluride thin-film solar photovoltaic</t>
  </si>
  <si>
    <t>Life Cycle Assessment of Electricity Production from an onshore V100-2.0 MW Wind Plant</t>
  </si>
  <si>
    <t>ASIGE</t>
  </si>
  <si>
    <t>amorphous silicon germanium thin-film solar photovoltaic</t>
  </si>
  <si>
    <t>https://www.vestas.com/~/media/vestas/about/sustainability/pdfs/lcav10020mw181215.pdf</t>
  </si>
  <si>
    <t>Habib + Wenzel 2016</t>
  </si>
  <si>
    <t>Numbers taken from Table 6, summed across turbines, foundations, cables, switchgears, and transformer</t>
  </si>
  <si>
    <t>BBF Associates 2011</t>
  </si>
  <si>
    <t>Metric tons for a 50MW power plant of V100-2.0 MW onshore turbines, no permanent magnets</t>
  </si>
  <si>
    <t>tons</t>
  </si>
  <si>
    <t>tons/GW</t>
  </si>
  <si>
    <t>Notes</t>
  </si>
  <si>
    <t>Concrete C12, C30, C45, amounts unspecified. LCA used C12/15 and C30/37, also employing C30/37 parameters for C45</t>
  </si>
  <si>
    <t>Steel/cast steel/sintered steel, sum of Unalloyed, low alloyed and Highly alloyed, plus cast iron</t>
  </si>
  <si>
    <t>Dy</t>
  </si>
  <si>
    <t>DOE 2011</t>
  </si>
  <si>
    <t>Copper alloys</t>
  </si>
  <si>
    <t>Hoenderdaal et al 2013</t>
  </si>
  <si>
    <t>Sum of Copper and Copper alloys</t>
  </si>
  <si>
    <t>Aluminum and Aluminum alloys</t>
  </si>
  <si>
    <t>Conversion of tons concrete to tons cement</t>
  </si>
  <si>
    <t>Concrete volume (m^3) per GW</t>
  </si>
  <si>
    <t>Assuming 1600 kg/m^3</t>
  </si>
  <si>
    <t>Fizaine + Court 2015</t>
  </si>
  <si>
    <t>Assuming 2500 kg/m^3</t>
  </si>
  <si>
    <t>Cement (kg) per GW</t>
  </si>
  <si>
    <t>Cement (tons) per GW</t>
  </si>
  <si>
    <t>Razdan + Garrett 2015a</t>
  </si>
  <si>
    <t>1600 kg/m^3 density and 165 kg/m^3 cement content</t>
  </si>
  <si>
    <t>Razdan + Garrett 2015b</t>
  </si>
  <si>
    <t>2500 kg/m^3 density and 400 kg/m^3 cement content</t>
  </si>
  <si>
    <t>2015 Razdan + Garrett (b)</t>
  </si>
  <si>
    <t>Life Cycle Assessment of Electricity Production from an onshore V110-2.0 MW Wind Plant</t>
  </si>
  <si>
    <t>https://www.vestas.com/~/media/vestas/about/sustainability/pdfs/lcav11020mw181215.pdf</t>
  </si>
  <si>
    <t>Metric tons for a 50MW power plant of V110-2.0 MW onshore turbines, no permanent magnets</t>
  </si>
  <si>
    <t>Garcia-Olivares et al 2012</t>
  </si>
  <si>
    <t>Steel/cast steel/sintered steel, sum of Unalloyed, low alloyed and Highly alloyed</t>
  </si>
  <si>
    <t>Chipindula et al 2018</t>
  </si>
  <si>
    <t>Elsam Engineering 2004</t>
  </si>
  <si>
    <t>2011 Garrett + Ronde</t>
  </si>
  <si>
    <t>Falconer 2009</t>
  </si>
  <si>
    <t>Life Cycle Assessment of Electricity Production from a V90-2.0MW Gridstreamer Wind Plant</t>
  </si>
  <si>
    <t>https://www.vestas.com/~/media/vestas/about/sustainability/pdfs/lca_v902mw_version1.pdf</t>
  </si>
  <si>
    <t>Numbers taken from Table 5, summed across turbines, foundations, cables, switchgears, and transformer</t>
  </si>
  <si>
    <t>Metric tons for a 50MW power plant of V90-2.0MW onshore turbines, containing permanent magnets</t>
  </si>
  <si>
    <t>Concrete C12, C30, C45, amounts unspecified. LCA used C12/15 and C30/37, also employing the latter for C45</t>
  </si>
  <si>
    <t>Steel, sum of Unalloyed, low alloyed and Highly alloyed</t>
  </si>
  <si>
    <t>2011 Department of Energy</t>
  </si>
  <si>
    <t>Critical Materials Strategy</t>
  </si>
  <si>
    <t>https://www.energy.gov/sites/prod/files/2019/06/f63/DOE_CMS2011_FINAL_Full_1.pdf</t>
  </si>
  <si>
    <t>Numbers taken from page 154</t>
  </si>
  <si>
    <t>kgs per MW generation (600kg total magnet weight per MW for a PM direct drive system) converted to tons per GW generation</t>
  </si>
  <si>
    <t>This is highly consistent with weight of "magnets" in Garrett + Ronde 2011 above</t>
  </si>
  <si>
    <t>this is the low-end estimate, high-end estimate would be 24 (2-4% Dy range)</t>
  </si>
  <si>
    <t>A global renewable mix with proven technologies and common materials</t>
  </si>
  <si>
    <t>https://doi.org/10.1016/j.enpol.2011.11.018</t>
  </si>
  <si>
    <t>Numbers for Copper from Section 3.4 and Appendix C, Al from Section 3.6 and Appendix C, using 3MW non-PM Vestas V90 as model</t>
  </si>
  <si>
    <t>Metric tons/MW converted to metric tons/GW, accounting for both turbine, grid connection, transformer, etc...</t>
  </si>
  <si>
    <t>standard onshore, tons/GW</t>
  </si>
  <si>
    <t>standard offshore, tons/GW</t>
  </si>
  <si>
    <t>match fairly well with Vestas numbers</t>
  </si>
  <si>
    <t>seems far too low, excluding Al from this study</t>
  </si>
  <si>
    <t>Wilburn, 2011</t>
  </si>
  <si>
    <t>Wind Energy in the US and Materials Required for the Land-Based Wind Turbine Industry From 2010 Through 2030</t>
  </si>
  <si>
    <t>https://pubs.usgs.gov/sir/2011/5036/sir2011-5036.pdf</t>
  </si>
  <si>
    <t>Numbers from Table 5 on page 12, based on next-gen onshore wind projections</t>
  </si>
  <si>
    <t>kg/MW converted to metric tons/GW</t>
  </si>
  <si>
    <t>Steel + cast iron</t>
  </si>
  <si>
    <t>Manberger + Stenqvist 2018</t>
  </si>
  <si>
    <t>Not explicitly stated to include associated infrastructure, but checks out with Vestas LCAs</t>
  </si>
  <si>
    <t>Bodeker et al 2010</t>
  </si>
  <si>
    <t>Calculation based on Hatch</t>
  </si>
  <si>
    <t>Jean et al 2015</t>
  </si>
  <si>
    <t>(2009) and Lifton (2009), assuming a PM turbine</t>
  </si>
  <si>
    <t>Mason et al 2006</t>
  </si>
  <si>
    <t>Fiberglass</t>
  </si>
  <si>
    <t>IRENA 2017</t>
  </si>
  <si>
    <t>Concrete volume (m^3)</t>
  </si>
  <si>
    <t>Hoenderdaal, S., Espinoza, L.T., Marscheider-Weidemann, F. and Graus, W., 2013. Can a dysprosium shortage threaten green energy technologies?. Energy, 49, pp.344-355.</t>
  </si>
  <si>
    <t>https://www.sciencedirect.com/science/article/abs/pii/S0360544212008055</t>
  </si>
  <si>
    <t>Jean et al., 2015</t>
  </si>
  <si>
    <t>Numbers from Table 3, average of figures from collected interviews with industry experts</t>
  </si>
  <si>
    <t>Rigby et al., 2011</t>
  </si>
  <si>
    <t>Fthenakis et al., 2011</t>
  </si>
  <si>
    <t>Authors cite: Arnolds Magnetics, Avalon Inc., TechMetalsResearch, IMCOA, University of St. Polten, Chinese Society of Rare Earths, Less Common Metals Ltd., Magnet Motor GmpH, Ames Laboratory and the US: Department of Energy.</t>
  </si>
  <si>
    <t>Rischknecht et al 2015</t>
  </si>
  <si>
    <t>Kavlak et al., 2015</t>
  </si>
  <si>
    <t>Habib and Wenzel 2016</t>
  </si>
  <si>
    <t>Reviewing resource criticality assessment from a dynamic and technology specific perspective – using the case of direct-drive wind turbines.</t>
  </si>
  <si>
    <t>https://www.sciencedirect.com/science/article/abs/pii/S0959652615009920</t>
  </si>
  <si>
    <t>Numbers from Table 2, assembled with input from manufacturers</t>
  </si>
  <si>
    <t>Nd and Dy demand based partly on Habib and Wenzel 2014 (https://www.sciencedirect.com/science/article/abs/pii/S0959652614003837)</t>
  </si>
  <si>
    <t>DD PM</t>
  </si>
  <si>
    <t>PM-free gearbox</t>
  </si>
  <si>
    <t>BBF Associates, “Market study: current and projected wind and solar renewable electric generating capacity and resulting copper demand”. 2011.</t>
  </si>
  <si>
    <t>https://copperalliance.org/wp-content/uploads/2017/03/Projected-wind-solar-copper-demand-1.pdf</t>
  </si>
  <si>
    <t>Numbers for solar from Table 2, wind on Table 1</t>
  </si>
  <si>
    <t>Most sites were constructed prior to 2010</t>
  </si>
  <si>
    <t>Numbers converted from lbs/MW to tons/GW</t>
  </si>
  <si>
    <t>ONSHORE</t>
  </si>
  <si>
    <t>Meadow Lake, IN Phase II plant (99 MW; 66x1.5MW turbines)</t>
  </si>
  <si>
    <t>Designed 100 MW (50x2MW Vestas)</t>
  </si>
  <si>
    <t>Rattlesnake Rd, OR 102.9 MW (49x2.1MW)</t>
  </si>
  <si>
    <t>Meridian Way KS 105MW (35x3MW)</t>
  </si>
  <si>
    <t>Lone Star TX 400MW (200x2MW)</t>
  </si>
  <si>
    <t>I. K. Falconer (Univ. of Exeter), Metals Required for the UK’s Low Carbon Energy System: The case of copper usage in wind farms, University of Exeter, 2009</t>
  </si>
  <si>
    <t>OFFSHORE</t>
  </si>
  <si>
    <t>offshore wind</t>
  </si>
  <si>
    <t>based upon data from 14 planned or operating wind farms</t>
  </si>
  <si>
    <t>Fizaine + Court 2015, Appendix A</t>
  </si>
  <si>
    <t>Renewable electricity producing technologies and metal depletion: A sensitivity analysis using the EROI</t>
  </si>
  <si>
    <t>https://www.sciencedirect.com/science/article/abs/pii/S0921800914003681</t>
  </si>
  <si>
    <t>Ga</t>
  </si>
  <si>
    <t>Kavlak et al 2015</t>
  </si>
  <si>
    <t>Numbers converted from tons/MW to tons/GW, rounded to nearest ton/GW</t>
  </si>
  <si>
    <t>Onshore wind</t>
  </si>
  <si>
    <t>Offshore wind</t>
  </si>
  <si>
    <t>Ostensibly from Ashby, M.F., 2013. Materials and the Environment: Eco-informed Material Choice.</t>
  </si>
  <si>
    <t>Butterworth-Heinemann, Elsevier, 2nd edition (628 pp.) and from EDF private data, cannot conclusively confirm either</t>
  </si>
  <si>
    <t>offshore figure seems really low... perhaps not whole-plant in scope</t>
  </si>
  <si>
    <t>these seem to incorporate some hidden assumptions for onshore/offshore PM/PM-free</t>
  </si>
  <si>
    <t>In</t>
  </si>
  <si>
    <t>Life Cycle Environmental Impact of Onshore and Offshore Wind Farms in Texas</t>
  </si>
  <si>
    <t>https://tethys.pnnl.gov/publications/life-cycle-environmental-impact-onshore-offshore-wind-farms-texas</t>
  </si>
  <si>
    <t>Table A1</t>
  </si>
  <si>
    <t>Conversion to tons/GW</t>
  </si>
  <si>
    <t>Se</t>
  </si>
  <si>
    <t>kilograms in each turbine</t>
  </si>
  <si>
    <t>2 MW offshore shallow-water turbine</t>
  </si>
  <si>
    <t>2.3 MW offshore shallow-water turbine</t>
  </si>
  <si>
    <t>2.3MW offshore deep-water turbine</t>
  </si>
  <si>
    <t>5 MW offshore deep-water turbine</t>
  </si>
  <si>
    <t>2MW offshore, tons/GW</t>
  </si>
  <si>
    <t>2.3MW offshore, tons/GW</t>
  </si>
  <si>
    <t>5MW offshore, tons/GW</t>
  </si>
  <si>
    <t>Fiberglass or carbon fiber</t>
  </si>
  <si>
    <t>Cast iron in rotor</t>
  </si>
  <si>
    <t>Cast iron in nacelle</t>
  </si>
  <si>
    <t>Steel in rotor</t>
  </si>
  <si>
    <t>does not include associated infrastructure, so these are low estimates</t>
  </si>
  <si>
    <t>Steel in nacelle</t>
  </si>
  <si>
    <t>Copper in nacelle</t>
  </si>
  <si>
    <t>Al in nacelle</t>
  </si>
  <si>
    <t>Al</t>
  </si>
  <si>
    <t>Steel in tower</t>
  </si>
  <si>
    <t>Steel in foundation</t>
  </si>
  <si>
    <t>Concrete in foundation</t>
  </si>
  <si>
    <t>Cd</t>
  </si>
  <si>
    <t>Total steel + cast iron</t>
  </si>
  <si>
    <t>ASSUMPTION FOR PLANT-WIDE MATERIALS ESTIMATES</t>
  </si>
  <si>
    <t>Adding grid connection and cabling infrastructure estimates from Elsam 2004 report to the values in the rows above:</t>
  </si>
  <si>
    <t>Life Cycle Assessment of offshore and onshore sited wind farms. 2004</t>
  </si>
  <si>
    <t>translated from the Danish Elsam Engineering report 186768 of March 2004 written in Danish</t>
  </si>
  <si>
    <t>https://www.vestas.com/~/media/vestas/about/sustainability/pdfs/lca_v80_2004_uk.ashx#:~:text=Vestas%20Wind%20Systems%20A%2FS%20financed%20its%20own%20participation%20in,farms%20through%20their%20life%20cycles.</t>
  </si>
  <si>
    <t>Table 5.3, assuming Vestas V80 2MW offshore turbine, excluding onshore wind findings as these are well older than 2010 (2006)</t>
  </si>
  <si>
    <t>Te</t>
  </si>
  <si>
    <t>kg/turbine</t>
  </si>
  <si>
    <t>Offshore turbine</t>
  </si>
  <si>
    <t>kg/farm for transmission</t>
  </si>
  <si>
    <t>kg total for a 1000 MW farm</t>
  </si>
  <si>
    <t>metric tons/GW</t>
  </si>
  <si>
    <t>Steel+high-strength steel+cast iron</t>
  </si>
  <si>
    <t>I'm assuming that these are non-PM turbines</t>
  </si>
  <si>
    <t>Glass fibre</t>
  </si>
  <si>
    <t>SOLAR</t>
  </si>
  <si>
    <t>Am assuming that usage of copper, steel, and concrete/cement, and glass in thin-film is identical to that of conventional PV</t>
  </si>
  <si>
    <t>Am assuming that Aluminum use in thin-film solar frames is 81% of that for conventional PV, based on Bodeker et al 2010</t>
  </si>
  <si>
    <t>Will list parabolic and central tower CSP as separate estimates within a single CSP category</t>
  </si>
  <si>
    <t>GREEN = final values</t>
  </si>
  <si>
    <t>Metal production requirements for rapid photovoltaics deployment</t>
  </si>
  <si>
    <t>Pihl et al 2012</t>
  </si>
  <si>
    <t>https://pubs.rsc.org/en/content/articlelanding/2015/ee/c5ee00585j#!divAbstract</t>
  </si>
  <si>
    <t>Numbers taken from Table 2</t>
  </si>
  <si>
    <t>17,62,138</t>
  </si>
  <si>
    <t>2,4,9</t>
  </si>
  <si>
    <t>7,13,28</t>
  </si>
  <si>
    <t>17,41,161</t>
  </si>
  <si>
    <t>19,70,156</t>
  </si>
  <si>
    <t>Si</t>
  </si>
  <si>
    <t>638, 2882, 6629</t>
  </si>
  <si>
    <t>NI</t>
  </si>
  <si>
    <t>Aluminium and Renewable Energy Systems - Prospects for the Sustainable Generation of Electricity and Heat</t>
  </si>
  <si>
    <t>http://www.world-aluminium.org/media/filer_public/2013/01/15/fl0000407.pdf</t>
  </si>
  <si>
    <t>numbers from Table 26 for solar PV ground, Table 49 for CSP</t>
  </si>
  <si>
    <t>Framed module</t>
  </si>
  <si>
    <t>Frameless CdTe module</t>
  </si>
  <si>
    <t>Coal</t>
  </si>
  <si>
    <t>Tahara et al 1997</t>
  </si>
  <si>
    <t>using the frameless CdTe figure for all thin-film types</t>
  </si>
  <si>
    <t>Spath et al 1999</t>
  </si>
  <si>
    <t>White + Kulcinski 1998</t>
  </si>
  <si>
    <t>El-Bassioni 1980</t>
  </si>
  <si>
    <t>Springerville, AZ 6.4 MW utility-scale solar plant</t>
  </si>
  <si>
    <t>Albers et al 1976</t>
  </si>
  <si>
    <t>PV single Si</t>
  </si>
  <si>
    <t>PV multi Si</t>
  </si>
  <si>
    <t>PV a Si</t>
  </si>
  <si>
    <t>PV CIGS</t>
  </si>
  <si>
    <t>PV CdTe</t>
  </si>
  <si>
    <t>Cannot confirm scope includes associated infrastructure other than panels, likely not</t>
  </si>
  <si>
    <t>Cr</t>
  </si>
  <si>
    <t>Numbers differ to a fair degree from other estimates - am excluding this study</t>
  </si>
  <si>
    <t>Mo</t>
  </si>
  <si>
    <t>Biomass</t>
  </si>
  <si>
    <t>Sullivan et al 2010</t>
  </si>
  <si>
    <t>Material constraints for concentrating solar thermal power</t>
  </si>
  <si>
    <t>https://www.sciencedirect.com/science/article/abs/pii/S036054421200374X</t>
  </si>
  <si>
    <t>Numbers from Table 3, sourced from original personal communications</t>
  </si>
  <si>
    <t>CSP trough</t>
  </si>
  <si>
    <t>CSP tower</t>
  </si>
  <si>
    <t>This is cement, not concrete. No grade given.</t>
  </si>
  <si>
    <t>Mg</t>
  </si>
  <si>
    <t>tons cement:</t>
  </si>
  <si>
    <t>Gas</t>
  </si>
  <si>
    <t>Spath + Mann 2000</t>
  </si>
  <si>
    <t>Iron</t>
  </si>
  <si>
    <t>Silicon sand</t>
  </si>
  <si>
    <t>tons concrete / GW</t>
  </si>
  <si>
    <t>Assuming a mix of as in Flury et al 2012: http://esu-services.ch/fileadmin/download/publicLCI/flury-2012-hydroelectric-power-generation.pdf</t>
  </si>
  <si>
    <t>1 m^3 of concrete has 2000 kg gravel, 127 kg water, 230 kg cement</t>
  </si>
  <si>
    <t>Assume 1 m^3 of concrete weighs 2.4 metric tons</t>
  </si>
  <si>
    <t>multiply cement mass by 10.4347826 for concrete mass</t>
  </si>
  <si>
    <t>2018 Månberger and Stenqvist, Global metal flows in the renewable energy transition: Exploring the effects</t>
  </si>
  <si>
    <t>https://www.sciencedirect.com/science/article/pii/S0301421518302726#ec0005</t>
  </si>
  <si>
    <t>Number for silver use in conventional PV from page 228</t>
  </si>
  <si>
    <t>Other numbers in this study cite some of the papers above</t>
  </si>
  <si>
    <t>CoalCCS</t>
  </si>
  <si>
    <t>Independent calculation based on Elshkaki and Graedel 2013 (https://www.sciencedirect.com/science/article/abs/pii/S0959652613004575) and VDMA, 2017. International Technology Roadmap for Photovoltaic (ITRPV). German Engineering Federation (VDMA), Frankfurt am Main.</t>
  </si>
  <si>
    <t>Authors arrived at a range of 10-20 t/GW assuming 20% cell efficiency and 1000 W/m2 and picked lower value.</t>
  </si>
  <si>
    <t xml:space="preserve">Jean, J., Brown, P. R., Jaffe, R. L., Buonassisi, T., &amp; Bulović, V. (2015). Pathways for solar photovoltaics. Energy &amp; Environmental Science, 8(4), 1200–1219. doi:10.1039/c4ee04073b </t>
  </si>
  <si>
    <t>https://pubs.rsc.org/en/content/articlelanding/2015/ee/c4ee04073b#!divAbstract</t>
  </si>
  <si>
    <t>Numbers from Figure 7, Figure 9, data obtained from authors via email</t>
  </si>
  <si>
    <t>t/GW</t>
  </si>
  <si>
    <t>CdTe</t>
  </si>
  <si>
    <t>c-Si (sc-Si and mc-Si)</t>
  </si>
  <si>
    <t>a-Si</t>
  </si>
  <si>
    <t>US NREL DOE, 2005</t>
  </si>
  <si>
    <t>https://www.nrel.gov/docs/fy05osti/37656.pdf</t>
  </si>
  <si>
    <t xml:space="preserve">Steel </t>
  </si>
  <si>
    <t>The authors likely arrived at these values by dividing the ranges of materials in the original DOE publication by the 4.1 TW of PV capacity installed...</t>
  </si>
  <si>
    <t>1460, 2020</t>
  </si>
  <si>
    <t>Life-Cycle Analysis Results of Geothermal Systems in Comparison to Other Power Systems</t>
  </si>
  <si>
    <t>BiomassCCS</t>
  </si>
  <si>
    <t>https://www.energy.gov/sites/prod/files/2014/02/f7/lifecycle_analysis_of_geothermal_systems.pdf</t>
  </si>
  <si>
    <t>mt/MW</t>
  </si>
  <si>
    <t>Solar</t>
  </si>
  <si>
    <t>Notes:</t>
  </si>
  <si>
    <t>Pacca 2002</t>
  </si>
  <si>
    <t>Mason 2006</t>
  </si>
  <si>
    <t>Phylipsen 1995</t>
  </si>
  <si>
    <t>de Wild 2005</t>
  </si>
  <si>
    <t>Authors point out that Pacca and Horvath 2002 numbers are high, while Phylipsen 1995 and de Wild 2005 do not appear to consider material inputs beyond panels</t>
  </si>
  <si>
    <t>Capacity (MW)</t>
  </si>
  <si>
    <t>mt/GW</t>
  </si>
  <si>
    <t>Mason 2006 estimate matches up well with other figure for Springerville, AZ</t>
  </si>
  <si>
    <t>GasCCS</t>
  </si>
  <si>
    <t>Frischknecht, R., Fthenakis, V., Kim, H.C., Raugei, M., Sinha, P., Stucki, M., 2015. Life Cycle Inventories and Life Cycle Assessments of Photovoltaic Systems.</t>
  </si>
  <si>
    <t>https://www.bnl.gov/pv/files/pdf/226_Task12_LifeCycle_Inventories.pdf</t>
  </si>
  <si>
    <t>page 31</t>
  </si>
  <si>
    <t>For a 1.6 sq meter c-Si PV module with a 210 Wp module power, 0.00026 kg of Ni are used.</t>
  </si>
  <si>
    <t>1 GW/ 210 W = 4761905</t>
  </si>
  <si>
    <t>4761905*0.00026=1238 kg / GW, not including associated infrastructure</t>
  </si>
  <si>
    <t>Lists no nickel usage for CdTe solar modules</t>
  </si>
  <si>
    <t xml:space="preserve">1 t Ni per GW c-Si matches numbers presented in Elshkaki, A., &amp; Graedel, T. E. (2013). Dynamic analysis of the global metals flows and stocks in electricity generation technologies. Journal of Cleaner Production, 59, 260–273. doi:10.1016/j.jclepro.2013.07.003 </t>
  </si>
  <si>
    <t>https://www.sciencedirect.com/science/article/abs/pii/S0959652613004575?via%3Dihub</t>
  </si>
  <si>
    <t>Bryan + Dudley 1974</t>
  </si>
  <si>
    <t>USNRC 1977</t>
  </si>
  <si>
    <t>https://www.irena.org/-/media/Files/IRENA/Agency/Publication/2017/Jun/IRENA_Leveraging_for_Solar_PV_2017.pdf</t>
  </si>
  <si>
    <t>Plastic</t>
  </si>
  <si>
    <t>Peterson et al 2005</t>
  </si>
  <si>
    <t>Andreades et al 2014</t>
  </si>
  <si>
    <t>Rigby P, Fillon B, Gombert A, Herrero Rueda J, Kiel E, Mellikov E, et al.</t>
  </si>
  <si>
    <t>Scientific Assessment in support of the Materials Roadmap enabling Low</t>
  </si>
  <si>
    <t>Carbon Energy Technologies Photovoltaic Technology 2011.</t>
  </si>
  <si>
    <t>https://publications.jrc.ec.europa.eu/repository/handle/JRC67978</t>
  </si>
  <si>
    <t>C-Si requires 66,700 tonnes of 4.0 mm glass per GWp of 15% efficient modules</t>
  </si>
  <si>
    <t>TFPV it requires 160,000 tonnes of glass per GWp</t>
  </si>
  <si>
    <t>We use Wp per m^2 values from Frischknecht et al. 2020 below, in conjunction with the ballpark figure of 10 kg glass per m^2 of c-Si panel from this study, Table 5.1.6</t>
  </si>
  <si>
    <t>Wp per m^2</t>
  </si>
  <si>
    <t>Average</t>
  </si>
  <si>
    <t>Pacca + Horvath 2002</t>
  </si>
  <si>
    <t>R. Frischknecht, P. Stolz, L. Krebs, M. de Wild-Scholten, P. Sinha, V. Fthenakis, H. C. Kim, M. Raugei, M. Stucki, 2020, Life Cycle Inventories and Life Cycle Assessment of Photovoltaic Systems, International Energy Agency (IEA) PVPS Task 12, Report T12-19:2020.</t>
  </si>
  <si>
    <t>Flury + Frischknecht 2012</t>
  </si>
  <si>
    <t>https://treeze.ch/fileadmin/user_upload/downloads/Publications/Case_Studies/Energy/IEA-PVPS-LCI-report-2020-20201208.pdf</t>
  </si>
  <si>
    <t>Table 2</t>
  </si>
  <si>
    <t>% weight Si per module</t>
  </si>
  <si>
    <t>Weight of unframed module per m^2</t>
  </si>
  <si>
    <t>tons/MW</t>
  </si>
  <si>
    <t>Mono-Si</t>
  </si>
  <si>
    <t>11 kg</t>
  </si>
  <si>
    <t>Multi-Si</t>
  </si>
  <si>
    <t>11.1 kg</t>
  </si>
  <si>
    <t>Rule 2009</t>
  </si>
  <si>
    <t>HYDRO</t>
  </si>
  <si>
    <t>Flury + Frischknecht 2012, Life Cycle Inventories of Hydroelectric Power Generation</t>
  </si>
  <si>
    <t>Intensity [ton/GW], converted from original values in g/kWh</t>
  </si>
  <si>
    <t>Original values reported in g/kWh:</t>
  </si>
  <si>
    <t>kWh/GWh</t>
  </si>
  <si>
    <t>http://esu-services.ch/fileadmin/download/publicLCI/flury-2012-hydroelectric-power-generation.pdf</t>
  </si>
  <si>
    <t xml:space="preserve">Material </t>
  </si>
  <si>
    <t>Storage Power Station</t>
  </si>
  <si>
    <t>Run of River (RoR)</t>
  </si>
  <si>
    <t>Storaged</t>
  </si>
  <si>
    <t>Run of River</t>
  </si>
  <si>
    <t>ton/g</t>
  </si>
  <si>
    <t>Assumed Life</t>
  </si>
  <si>
    <t>150 years</t>
  </si>
  <si>
    <t>Assumed plant size</t>
  </si>
  <si>
    <t>95 MW</t>
  </si>
  <si>
    <t>Copper (Cu)</t>
  </si>
  <si>
    <t xml:space="preserve">Assumed production </t>
  </si>
  <si>
    <t>190GWh/year</t>
  </si>
  <si>
    <t>Geothermal</t>
  </si>
  <si>
    <t>Karlsdottir et al 2015</t>
  </si>
  <si>
    <t>Cement (kg)</t>
  </si>
  <si>
    <t>Cement (tons)</t>
  </si>
  <si>
    <t>Tosti et al 2020</t>
  </si>
  <si>
    <t>Basosi et al 2020</t>
  </si>
  <si>
    <t>Pratiwi et al 2018</t>
  </si>
  <si>
    <t>Argonne National Laboratory, Life-Cycle Analysis Results of Geothermal Systems in Comparison to Other Power Systems, 2010</t>
  </si>
  <si>
    <t>Hondo 2005</t>
  </si>
  <si>
    <t>n/a</t>
  </si>
  <si>
    <t>69 (seems very low)</t>
  </si>
  <si>
    <t>Concrete volume (m^3)/GW</t>
  </si>
  <si>
    <t>Cement (kg)/GW</t>
  </si>
  <si>
    <t>Cement (tons)/GW</t>
  </si>
  <si>
    <t>seems quite low, omitting these</t>
  </si>
  <si>
    <t>Three gorges dam (sanity check, not included in study)</t>
  </si>
  <si>
    <t>Three Gorges Dam is 22.5 GW</t>
  </si>
  <si>
    <t>Concrete (kg)</t>
  </si>
  <si>
    <t>27.2 million m3 concrete</t>
  </si>
  <si>
    <t>463,000 tons steel</t>
  </si>
  <si>
    <t>https://www.britannica.com/topic/Three-Gorges-Dam</t>
  </si>
  <si>
    <t>Cement (tons/GW)</t>
  </si>
  <si>
    <t>http://www.china-embassy.org/eng/zt/sxgc/t36512.htm</t>
  </si>
  <si>
    <t>GEOTHERMAL</t>
  </si>
  <si>
    <t>Karlsdóttir et al., 2015. Life cycle inventory of a flash geothermal combined heat and power plant located in Iceland</t>
  </si>
  <si>
    <t>https://link.springer.com/article/10.1007/s11367-014-0842-y</t>
  </si>
  <si>
    <t>Original values in g/kWh and g/MJ</t>
  </si>
  <si>
    <t>303.3 MWe+133MWth plant</t>
  </si>
  <si>
    <t>30 year life</t>
  </si>
  <si>
    <t>87% CF</t>
  </si>
  <si>
    <t>349.5 million MJ</t>
  </si>
  <si>
    <t>Conventional Geothermal Flash</t>
  </si>
  <si>
    <t>Elec (g/kWh)</t>
  </si>
  <si>
    <t>Thermal (g/MJ)</t>
  </si>
  <si>
    <t>Total Material demand from Elec (tons)</t>
  </si>
  <si>
    <t>Total Material demand from Heat (tons)</t>
  </si>
  <si>
    <t>Lifetime Elec (kWh)</t>
  </si>
  <si>
    <t>Portland Cement</t>
  </si>
  <si>
    <t>Stainless Steel</t>
  </si>
  <si>
    <t>Lifetime Heat (MJ)</t>
  </si>
  <si>
    <t>91441 kj/s</t>
  </si>
  <si>
    <t xml:space="preserve">Aluminum </t>
  </si>
  <si>
    <t>Mineral wool</t>
  </si>
  <si>
    <t>Asphalt</t>
  </si>
  <si>
    <t>Glass Fiber Reinforced Plastic</t>
  </si>
  <si>
    <t>Sum of steel and stainless steel</t>
  </si>
  <si>
    <t>Argonne National Laboratory, Life-Cycle Analysis Results of Geothermal Systems in Comparison to Other Power Systems, Sullivan et al., 2010</t>
  </si>
  <si>
    <t>Hydrothermal (10MW) Binary</t>
  </si>
  <si>
    <t>Hydrothermal (50MW) Flash</t>
  </si>
  <si>
    <t>EGS (20MW)</t>
  </si>
  <si>
    <t>EGS (50MW)</t>
  </si>
  <si>
    <t>Bentonite</t>
  </si>
  <si>
    <t>Tosti et al., 2020. Complete Data Inventory of a Geothermal Power Plant for Robust Cradle-to-Grave Life Cycle Assessment Results</t>
  </si>
  <si>
    <t>https://www.mdpi.com/1996-1073/13/11/2839</t>
  </si>
  <si>
    <t>Capacity</t>
  </si>
  <si>
    <t>61MWe</t>
  </si>
  <si>
    <t>21.1MWth</t>
  </si>
  <si>
    <t>Energy</t>
  </si>
  <si>
    <t>21760 GWhE</t>
  </si>
  <si>
    <t>1280 GWhth</t>
  </si>
  <si>
    <t>Tons (total)</t>
  </si>
  <si>
    <t>Tons/GWe</t>
  </si>
  <si>
    <t>Gravel</t>
  </si>
  <si>
    <t>Sodium Hydroxide</t>
  </si>
  <si>
    <t>Selenium</t>
  </si>
  <si>
    <t>Pentane</t>
  </si>
  <si>
    <t>PVC</t>
  </si>
  <si>
    <t>Tons total</t>
  </si>
  <si>
    <t>tons/gw</t>
  </si>
  <si>
    <t>Life Cycle Analysis of a Geothermal Power Plant: Comparison of the Environmental Performance with Other Renewable Energy Systems</t>
  </si>
  <si>
    <t>https://www.mdpi.com/2071-1050/12/7/2786</t>
  </si>
  <si>
    <t>20MWe (single plant flash), requirements in kg</t>
  </si>
  <si>
    <t>Production wells (kg)</t>
  </si>
  <si>
    <t>Reinjection wells (kg)</t>
  </si>
  <si>
    <t>Drilling platform (kg)</t>
  </si>
  <si>
    <t>Steam adduction pipeline (kg)</t>
  </si>
  <si>
    <t>Turbine and alternator (kg)</t>
  </si>
  <si>
    <t>Compressors (kg)</t>
  </si>
  <si>
    <t>Building (kg)</t>
  </si>
  <si>
    <t>Sum of all components</t>
  </si>
  <si>
    <t>Steel (including cast iron, chromium steel, etc...)</t>
  </si>
  <si>
    <t>Life-cycle climate-change impact assessment of enhanced geothermal system plants in the Upper Rhine Valley</t>
  </si>
  <si>
    <t>https://www.sciencedirect.com/science/article/pii/S0375650517302912</t>
  </si>
  <si>
    <t>Enhanced geothermal system</t>
  </si>
  <si>
    <t>Capacity [MWe]</t>
  </si>
  <si>
    <t>Calcium Carbonante</t>
  </si>
  <si>
    <t>NUCLEAR</t>
  </si>
  <si>
    <t>Per Peterson et al (2005):</t>
  </si>
  <si>
    <t>Metal And Concrete Inputs For Several Nuclear Power Plants</t>
  </si>
  <si>
    <t>https://pdfs.semanticscholar.org/519e/a5c55a312f3f45ccfcc4a093a941366c6658.pdf</t>
  </si>
  <si>
    <t>1380 MWe ABWR in Table 3, 1500 MWe ESBWR in Table 4, 1600 MWe EPR in Table 5, 286 MW GR-MHR in Table 6, 1235 MW AHTR-IT in Table 7</t>
  </si>
  <si>
    <t>1380 MWe ABWR</t>
  </si>
  <si>
    <t>1500 MWe ESBWR</t>
  </si>
  <si>
    <t>1600 MWe EPR</t>
  </si>
  <si>
    <t>286 MWe GT-MHR</t>
  </si>
  <si>
    <t>1235 MW AHTR-IT</t>
  </si>
  <si>
    <t>Concrete, cubic meters</t>
  </si>
  <si>
    <t>We excluded unbuilt designs, included built designs</t>
  </si>
  <si>
    <t>Total metal</t>
  </si>
  <si>
    <t>Concrete, metric tons (assuming 2.75 metric tons/m^3)</t>
  </si>
  <si>
    <t>Steel and iron, metric tons as a fraction of total metal, assuming 97.5%</t>
  </si>
  <si>
    <t>Concrete, tons/GW</t>
  </si>
  <si>
    <t>Steel, tons/GW</t>
  </si>
  <si>
    <t>Operational</t>
  </si>
  <si>
    <t>Not yet built</t>
  </si>
  <si>
    <t>in development</t>
  </si>
  <si>
    <t>kg of cement, assuming cement content of 165 g/m^3</t>
  </si>
  <si>
    <t>kg of cement, assuming cement content of 400 g/m^3</t>
  </si>
  <si>
    <t>Nuclear power (PWR)</t>
  </si>
  <si>
    <t>R.H. Bryan, I.T. Dudley, Estimated quantities of materials contained in a 1000 MW(e) PWR Power Plant, Oak Ridge National Laboratory, TM-4515, June (1974).</t>
  </si>
  <si>
    <t>https://inis.iaea.org/collection/NCLCollectionStore/_Public/05/148/5148861.pdf</t>
  </si>
  <si>
    <t>Cites reference 1 for many cases, for others equipment catalogs, personal communications, technical journals consulted</t>
  </si>
  <si>
    <t>Typical 1000 MW PWR, Table 1 - composite materials</t>
  </si>
  <si>
    <t>Carbon steel + stainless steel + galvanized iron</t>
  </si>
  <si>
    <t>Concrete - CUBIC YARDS</t>
  </si>
  <si>
    <t>98130 cubic yards</t>
  </si>
  <si>
    <t>179681.06 metric tons according to Appendix B</t>
  </si>
  <si>
    <t>&lt;1</t>
  </si>
  <si>
    <t>Typical 1000 MW PWR, Table 2 - basic constituent materials</t>
  </si>
  <si>
    <t>Assumed constituents in Appendix C</t>
  </si>
  <si>
    <t xml:space="preserve">Concrete by weight %: Cement 16.77, coarse aggregate 50.29, fine aggregate 25.52 </t>
  </si>
  <si>
    <t>A.A. El-Bassioni, A methodology and a preliminary data base for examining the health risks of electricity generation from uranium and coal fuels, Oak Ridge National Laboratory, NUREG/CR-1539, August (1980).</t>
  </si>
  <si>
    <t>https://www.osti.gov/servlets/purl/5100383</t>
  </si>
  <si>
    <t>Table 3.59:</t>
  </si>
  <si>
    <t>metric tons for a 1000 MW plant</t>
  </si>
  <si>
    <t>PWR</t>
  </si>
  <si>
    <t>BWR</t>
  </si>
  <si>
    <t>1000 MWe Model LWR (based on a 2:1 ratio of PWR to BWR requirements, for a range of values the average was utilized. Values rounded, represent a 30 year lifetime of the plant)</t>
  </si>
  <si>
    <t>18-45 (a,f)</t>
  </si>
  <si>
    <t>45-54 (d,c)</t>
  </si>
  <si>
    <t>Am using numbers for BWR columns only, treating ranges of values as two separate estimates</t>
  </si>
  <si>
    <t>&lt;1 (a,f)</t>
  </si>
  <si>
    <t>&lt;1 (d)</t>
  </si>
  <si>
    <t>1.9e5 (c)</t>
  </si>
  <si>
    <t>1.8et</t>
  </si>
  <si>
    <t>726-2000 (a,f)</t>
  </si>
  <si>
    <t>907-2000 (c,d)</t>
  </si>
  <si>
    <t>400-467 (f,a)</t>
  </si>
  <si>
    <t>209-400 (c,d)</t>
  </si>
  <si>
    <t>100-484 (f,a)</t>
  </si>
  <si>
    <t>49-100 (c,d)</t>
  </si>
  <si>
    <t>&lt;1 (f,a)</t>
  </si>
  <si>
    <t>1 (d)</t>
  </si>
  <si>
    <t>1-5.4e5 (f,g)</t>
  </si>
  <si>
    <t>1.0e4 (d)</t>
  </si>
  <si>
    <t>(a)R. H. Bryan and I. T. Dudley, 11 Estimated Quantities of Materials</t>
  </si>
  <si>
    <t xml:space="preserve">Contained in a1000-MWe PWR Power Plant, 11 ORNL-TM-4515, June 1974. </t>
  </si>
  <si>
    <t>(b)Federal Energy Administration, 11 P~oject Independence Blueprint.Task · . Force Report/Nuclear Energy, 11 Final Task Force Report, 1974.</t>
  </si>
  <si>
    <t>(c)J. P. Albers, et al., 11 Demand and.Supply of Non-Fuel Minerals and</t>
  </si>
  <si>
    <t>Materials for the United States Energy Industry, 1975-90, 11 USGS</t>
  </si>
  <si>
    <t xml:space="preserve">Professional Paper 1006-~, 1976. </t>
  </si>
  <si>
    <t>(d)u.s. Nuclear Regulatory Commission, 11 Phipps Bend Nuclear Plant Units 1 and 2, Proposed by the Tennessee Valley Authority, 11 Final Environmental Statement, NUREG-0168, February 1977.</t>
  </si>
  <si>
    <t>(f)U.S. Nu~lear Regulatory Commission, 11Yellow Creek Nuclear Plant Units 1 and 2, Proposed by the Tennessee Valley Authority, 11 Final Environmental Statement, November 1977.</t>
  </si>
  <si>
    <t>g)U. S. Department of Energy, 11Technology for Commercial Radioactive Waste Management, II DOE/ET-0028, vo·l. 1, May 1979 ..</t>
  </si>
  <si>
    <t>BWR (c)</t>
  </si>
  <si>
    <t>BWR (d)</t>
  </si>
  <si>
    <t>only using BWR numbers, since PWR numbers are from Bryan and Dudley, which is already included above</t>
  </si>
  <si>
    <t>U.S. Nuclear Regulatory Commission, Yellow Creek Nuclear Plant Units 1 and 2, Proposed by the Tennessee Valley Authority, Final Environmental Statement, November 1977.</t>
  </si>
  <si>
    <t>https://catalog.hathitrust.org/Record/101828841</t>
  </si>
  <si>
    <t>page 220, section 10.3.3, assembled from "various sources" for a two-unit plant with same power rating as Yellow Creek</t>
  </si>
  <si>
    <t>metric tons</t>
  </si>
  <si>
    <t>PWR, ~2700 MWe</t>
  </si>
  <si>
    <t>tons/GW (rounded to nearest integer)</t>
  </si>
  <si>
    <t>Technical Description of the “Mark 1” Pebble-Bed Fluoride-Salt-Cooled High-Temperature Reactor (PB-FHR) Power Plant</t>
  </si>
  <si>
    <t>Andreades et al</t>
  </si>
  <si>
    <t>converted from 1000 kg/MWe to tons/GWe</t>
  </si>
  <si>
    <t>Mk 1 PB-FHR (100 MWe), scaled to 1GW</t>
  </si>
  <si>
    <t>Carbon steel + High alloy and stainless steel</t>
  </si>
  <si>
    <t>Mk 1 PB-FHR (100 MWe)</t>
  </si>
  <si>
    <t>FOSSIL FUELS</t>
  </si>
  <si>
    <t>Singh, B.; Bouman, E. A.; Strømman, A. H.; Hertwich, E. G. 2015.</t>
  </si>
  <si>
    <t>Material use for electricity generation with carbon dioxide capture and storage: Extending life cycle analysis indices for material accounting. Resour. Conserv. Recycl.</t>
  </si>
  <si>
    <t>https://www.sciencedirect.com/science/article/abs/pii/S0921344915000555</t>
  </si>
  <si>
    <t>considering a 600MW hard coal plant with Monoethanolamine (MEA) CO2 capture, hypothetically in western Europe</t>
  </si>
  <si>
    <t>Numbers from tables 2 and 3</t>
  </si>
  <si>
    <t>Conventional coal</t>
  </si>
  <si>
    <t>Conventional coal + CCS</t>
  </si>
  <si>
    <t>Study assumptions: 25 year lifetime, 8000 full load hours per year, 42% efficiency without CCS, 41% efficiency with CCS</t>
  </si>
  <si>
    <t>8000 hours/year is an unusually high capacity factor - we choose to use a more reasonable capacity factor to derive material intensity values and assess the material intensity of CCS plants relative to non-CCS plants</t>
  </si>
  <si>
    <t>Assumed conversion factors to calculate material intensities per unit generating capacity:</t>
  </si>
  <si>
    <t>Power production per year assuming 57% capacity factor (kWh)</t>
  </si>
  <si>
    <t>Power production over 25 year lifetime (kWh)</t>
  </si>
  <si>
    <t>Power production over 25 year lifetime (GWh)</t>
  </si>
  <si>
    <t>kg of material demand, across total lifetime, for a 600MW plant</t>
  </si>
  <si>
    <t>calculated material intensities, metric tons/GW</t>
  </si>
  <si>
    <t>Ratio of CCS/non-CCS material demand</t>
  </si>
  <si>
    <t>We utilize these calculated multiplicative factors associated with CCS infrastructure, but not these specifically derived material intensity values given anomalously high capacity factor assumptions</t>
  </si>
  <si>
    <t>From these values, we assume a 53% increase in steel usage and 20% increase in copper usage for all CCS plants relative to non-CCS plants of the same category</t>
  </si>
  <si>
    <t>Evaluation of CO2 payback time of power plants by LCA</t>
  </si>
  <si>
    <t>https://www.sciencedirect.com/science/article/abs/pii/S0196890497000058</t>
  </si>
  <si>
    <t>NG-CC</t>
  </si>
  <si>
    <t>Coal+CCS</t>
  </si>
  <si>
    <t>NG-CC + CCS</t>
  </si>
  <si>
    <t>based on derived Singh et al., 2015 increase factor</t>
  </si>
  <si>
    <t>Coal + CCS, based on Singh increase factor</t>
  </si>
  <si>
    <t>NGCC + CCS, based on Singh increase factor</t>
  </si>
  <si>
    <t>88.5 MW plant</t>
  </si>
  <si>
    <t>Steel+iron</t>
  </si>
  <si>
    <t>Biomass + CCS, based on Singh et al 2015 factors</t>
  </si>
  <si>
    <t>Biomass-88</t>
  </si>
  <si>
    <t>Biomass w CCS based on Singh et al 2015 factors</t>
  </si>
  <si>
    <t>Spath, P.L., M.K. Mann, and D.R. Kerr, 1999, ―Life Cycle Assessment of Coal-Fired Power Production,‖ NREL/TP-570-25119.</t>
  </si>
  <si>
    <t>https://www.nrel.gov/docs/fy99osti/25119.pdf</t>
  </si>
  <si>
    <t>Table 18, cites DynCorp, 1995, Meridian 1989, 360MW plant</t>
  </si>
  <si>
    <t>tons/GW or kg/MW capacity</t>
  </si>
  <si>
    <t>Sensitivity (Table 42)</t>
  </si>
  <si>
    <t>With CCS, based on Singh increase factor</t>
  </si>
  <si>
    <t xml:space="preserve">White, S.W., and G.L. Kulcinski, 1998a, ―Birth to Death Analysis of the Energy Payback Ratio and CO2 Gas Emission Rates From Coal, Fission, Wind and DT Fusion Electrical Power Plants,‖ UWFDM-1063. </t>
  </si>
  <si>
    <t>https://www.sciencedirect.com/science/article/abs/pii/S0920379600001587</t>
  </si>
  <si>
    <t>Table 4, citing reference 11 for coal, reference 12 for fission</t>
  </si>
  <si>
    <t>carbon/low alloy + stainless steel</t>
  </si>
  <si>
    <t>ref 11:</t>
  </si>
  <si>
    <t>Spath, P.L., and M.K. Mann, 2000, ―Life Cycle Assessment of a Natural Gas Combined-Cycle Power Generation System,‖ NREL/TP-570-27715.</t>
  </si>
  <si>
    <t>https://www.nrel.gov/docs/fy00osti/27715.pdf</t>
  </si>
  <si>
    <t>Table 2, citing DynCorp 1995</t>
  </si>
  <si>
    <t>NG-CC, CCS using Singh et al 2015 factors</t>
  </si>
  <si>
    <t>Table 4.21</t>
  </si>
  <si>
    <t>Coal, 800 MWe</t>
  </si>
  <si>
    <t>"lncludes material to manufacture major equipment items."</t>
  </si>
  <si>
    <t>400-430 (c)</t>
  </si>
  <si>
    <t>(b)Federal Energy Administration, 11 Project Independence Blue Print Final Task Force Report: Facilities, 11 November 1974.</t>
  </si>
  <si>
    <t>Concrete (CUBIC YARDS)</t>
  </si>
  <si>
    <t>37000 (d)-53500</t>
  </si>
  <si>
    <t>https://www.osti.gov/servlets/purl/7269803</t>
  </si>
  <si>
    <t>Steel+steel pipe &amp; tube+stainless steel+steel forgings</t>
  </si>
  <si>
    <t>(c)J.P. Albers et al., "Demand for Non-fuel Minerals and Materials by U.S. Energy Industry 1975-1990," Geological Survey, U.S. Department of the Interior, 1976.</t>
  </si>
  <si>
    <t>(d)Tennessee Valley Authority, "The Bull Run Steam Plant," .Technical Report 38, 1967.</t>
  </si>
  <si>
    <t>Concrete, metric tons (assuming 2.75 metric tons/m^3</t>
  </si>
  <si>
    <t>Coal, tons/GW</t>
  </si>
  <si>
    <t>Low</t>
  </si>
  <si>
    <t>High</t>
  </si>
  <si>
    <t>500 to 537.5</t>
  </si>
  <si>
    <t>77793 to 112485</t>
  </si>
  <si>
    <t>Coal, low</t>
  </si>
  <si>
    <t>Coal, high</t>
  </si>
  <si>
    <t>Coal w CCS low, using Singh et al 2015 factors</t>
  </si>
  <si>
    <t>Coal w CCS high, using Singh et al 2015 factors</t>
  </si>
  <si>
    <t>using original figures for concrete volume, in cubic meters</t>
  </si>
  <si>
    <t>J.P. Albers et al., "Demand for Non-fuel Minerals and Materials by U.S. Energy Industry 1975-1990," Geological Survey, U.S. Department of the Interior, 1976.</t>
  </si>
  <si>
    <t>https://pubs.er.usgs.gov/publication/pp1006AB</t>
  </si>
  <si>
    <t>Table 13, column A, 900 MWe steam turbine fossil fuel (coal) plant</t>
  </si>
  <si>
    <t>Coal (900 MW plant)</t>
  </si>
  <si>
    <t>Coal, CCS</t>
  </si>
  <si>
    <t>using Singh et al 2015 factors</t>
  </si>
  <si>
    <t>Coal w CCS using Singh et al 2015 factors</t>
  </si>
  <si>
    <t>solar PV</t>
  </si>
  <si>
    <t>solar PV residential</t>
  </si>
  <si>
    <t>Wave energy</t>
  </si>
  <si>
    <t>Auxiliary grid-equipment</t>
  </si>
  <si>
    <t>total</t>
  </si>
  <si>
    <t>lightweighting</t>
  </si>
  <si>
    <t>%</t>
  </si>
  <si>
    <t>mass ratio</t>
  </si>
  <si>
    <t>GRO2024_elec_weight</t>
  </si>
  <si>
    <t>Martijn van Engelenburg</t>
  </si>
  <si>
    <t>Added lightweighting assumptions from GRO2024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</si>
  <si>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</si>
  <si>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</si>
  <si>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</si>
  <si>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</si>
  <si>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Report</t>
  </si>
  <si>
    <t>Misc. physical units</t>
  </si>
  <si>
    <t>age-cohort</t>
  </si>
  <si>
    <t>3_MC_Electricity_CIRCOMOD_D4.2_2025</t>
  </si>
  <si>
    <t>CIRCOMOD_D4.2</t>
  </si>
  <si>
    <t>use phase</t>
  </si>
  <si>
    <t>1 end use sector</t>
  </si>
  <si>
    <t>around 20 technologies</t>
  </si>
  <si>
    <t>Material content of electricity generation technologies</t>
  </si>
  <si>
    <t>electricity generation technologies</t>
  </si>
  <si>
    <t>global</t>
  </si>
  <si>
    <t>2010-2050</t>
  </si>
  <si>
    <t>use phase - electricity infrastructure</t>
  </si>
  <si>
    <t>end-use sector</t>
  </si>
  <si>
    <t>engineering_material</t>
  </si>
  <si>
    <t>strategy</t>
  </si>
  <si>
    <t>miscellaneous licenses, see the comments in the dataset</t>
  </si>
  <si>
    <t>material</t>
  </si>
  <si>
    <t>layer</t>
  </si>
  <si>
    <t>stats_array string</t>
  </si>
  <si>
    <t>Official data from government institution; Result of academic MFA work</t>
  </si>
  <si>
    <t>Proprietary report or research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</si>
</sst>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222222"/>
      <name val="Arial"/>
      <family val="2"/>
    </font>
    <font>
      <sz val="11"/>
      <color rgb="FF1155CC"/>
      <name val="Inconsolata"/>
    </font>
    <font>
      <sz val="12"/>
      <color rgb="FF006100"/>
      <name val="Arial"/>
      <family val="2"/>
    </font>
    <font>
      <sz val="11"/>
      <color rgb="FF4D5156"/>
      <name val="Roboto"/>
    </font>
    <font>
      <sz val="11"/>
      <color rgb="FF202122"/>
      <name val="Arial"/>
      <family val="2"/>
    </font>
    <font>
      <sz val="10"/>
      <color rgb="FF000000"/>
      <name val="Roboto"/>
    </font>
    <font>
      <b/>
      <i/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3CEFB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1F1DA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EA9999"/>
        <bgColor rgb="FFEA9999"/>
      </patternFill>
    </fill>
    <fill>
      <patternFill patternType="lightUp">
        <fgColor theme="0" tint="-0.24994659260841701"/>
        <bgColor rgb="FFB3CEFB"/>
      </patternFill>
    </fill>
    <fill>
      <patternFill patternType="lightUp">
        <fgColor theme="0" tint="-0.24994659260841701"/>
        <bgColor indexed="65"/>
      </patternFill>
    </fill>
    <fill>
      <patternFill patternType="lightUp">
        <fgColor theme="0" tint="-0.24994659260841701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17" fontId="0" fillId="0" borderId="0" xfId="0" applyNumberFormat="1"/>
    <xf numFmtId="0" fontId="11" fillId="0" borderId="0" xfId="0" applyFont="1"/>
    <xf numFmtId="1" fontId="0" fillId="0" borderId="0" xfId="0" applyNumberFormat="1"/>
    <xf numFmtId="0" fontId="0" fillId="0" borderId="0" xfId="0" applyAlignment="1">
      <alignment horizontal="right" vertical="center"/>
    </xf>
    <xf numFmtId="14" fontId="0" fillId="0" borderId="0" xfId="0" applyNumberFormat="1"/>
    <xf numFmtId="0" fontId="9" fillId="0" borderId="0" xfId="3"/>
    <xf numFmtId="0" fontId="1" fillId="0" borderId="0" xfId="0" applyFont="1"/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5" fillId="16" borderId="0" xfId="0" applyFont="1" applyFill="1"/>
    <xf numFmtId="0" fontId="15" fillId="0" borderId="0" xfId="0" applyFont="1"/>
    <xf numFmtId="0" fontId="16" fillId="0" borderId="0" xfId="0" applyFont="1"/>
    <xf numFmtId="0" fontId="14" fillId="17" borderId="0" xfId="0" applyFont="1" applyFill="1"/>
    <xf numFmtId="0" fontId="17" fillId="0" borderId="0" xfId="0" applyFont="1"/>
    <xf numFmtId="3" fontId="14" fillId="7" borderId="0" xfId="0" applyNumberFormat="1" applyFont="1" applyFill="1"/>
    <xf numFmtId="0" fontId="9" fillId="16" borderId="0" xfId="3" applyFill="1"/>
    <xf numFmtId="0" fontId="15" fillId="18" borderId="0" xfId="0" applyFont="1" applyFill="1"/>
    <xf numFmtId="0" fontId="18" fillId="0" borderId="0" xfId="0" applyFont="1"/>
    <xf numFmtId="0" fontId="14" fillId="8" borderId="0" xfId="0" applyFont="1" applyFill="1"/>
    <xf numFmtId="0" fontId="19" fillId="0" borderId="0" xfId="0" applyFont="1"/>
    <xf numFmtId="0" fontId="15" fillId="0" borderId="0" xfId="0" applyFont="1" applyAlignment="1">
      <alignment horizontal="left" vertical="center"/>
    </xf>
    <xf numFmtId="0" fontId="20" fillId="19" borderId="0" xfId="0" applyFont="1" applyFill="1"/>
    <xf numFmtId="0" fontId="21" fillId="19" borderId="0" xfId="0" applyFont="1" applyFill="1"/>
    <xf numFmtId="0" fontId="0" fillId="20" borderId="0" xfId="0" applyFill="1"/>
    <xf numFmtId="0" fontId="14" fillId="20" borderId="0" xfId="0" applyFont="1" applyFill="1"/>
    <xf numFmtId="11" fontId="14" fillId="0" borderId="0" xfId="0" applyNumberFormat="1" applyFont="1"/>
    <xf numFmtId="3" fontId="14" fillId="0" borderId="0" xfId="0" applyNumberFormat="1" applyFont="1"/>
    <xf numFmtId="3" fontId="22" fillId="21" borderId="0" xfId="0" applyNumberFormat="1" applyFont="1" applyFill="1"/>
    <xf numFmtId="0" fontId="22" fillId="21" borderId="0" xfId="0" applyFont="1" applyFill="1"/>
    <xf numFmtId="0" fontId="14" fillId="22" borderId="0" xfId="0" applyFont="1" applyFill="1"/>
    <xf numFmtId="4" fontId="14" fillId="0" borderId="0" xfId="0" applyNumberFormat="1" applyFont="1"/>
    <xf numFmtId="4" fontId="22" fillId="21" borderId="0" xfId="0" applyNumberFormat="1" applyFont="1" applyFill="1"/>
    <xf numFmtId="4" fontId="14" fillId="7" borderId="0" xfId="0" applyNumberFormat="1" applyFont="1" applyFill="1"/>
    <xf numFmtId="0" fontId="14" fillId="19" borderId="0" xfId="0" applyFont="1" applyFill="1"/>
    <xf numFmtId="0" fontId="25" fillId="0" borderId="0" xfId="0" applyFont="1"/>
    <xf numFmtId="0" fontId="25" fillId="19" borderId="0" xfId="0" applyFont="1" applyFill="1"/>
    <xf numFmtId="0" fontId="26" fillId="0" borderId="0" xfId="0" applyFont="1"/>
    <xf numFmtId="0" fontId="14" fillId="19" borderId="0" xfId="0" applyFont="1" applyFill="1" applyAlignment="1">
      <alignment horizontal="left"/>
    </xf>
    <xf numFmtId="11" fontId="14" fillId="7" borderId="0" xfId="0" applyNumberFormat="1" applyFont="1" applyFill="1"/>
    <xf numFmtId="0" fontId="27" fillId="0" borderId="0" xfId="0" applyFont="1"/>
    <xf numFmtId="0" fontId="28" fillId="16" borderId="0" xfId="0" applyFont="1" applyFill="1"/>
    <xf numFmtId="0" fontId="29" fillId="0" borderId="0" xfId="0" applyFont="1"/>
    <xf numFmtId="0" fontId="29" fillId="4" borderId="0" xfId="0" applyFont="1" applyFill="1"/>
    <xf numFmtId="0" fontId="29" fillId="7" borderId="0" xfId="0" applyFont="1" applyFill="1"/>
    <xf numFmtId="0" fontId="30" fillId="0" borderId="0" xfId="0" applyFont="1"/>
    <xf numFmtId="0" fontId="15" fillId="23" borderId="0" xfId="0" applyFont="1" applyFill="1"/>
    <xf numFmtId="0" fontId="14" fillId="24" borderId="0" xfId="0" applyFont="1" applyFill="1"/>
    <xf numFmtId="0" fontId="23" fillId="25" borderId="0" xfId="0" applyFont="1" applyFill="1" applyAlignment="1">
      <alignment horizontal="left"/>
    </xf>
    <xf numFmtId="0" fontId="24" fillId="25" borderId="0" xfId="0" applyFont="1" applyFill="1"/>
    <xf numFmtId="0" fontId="9" fillId="24" borderId="0" xfId="3" applyFill="1"/>
    <xf numFmtId="1" fontId="14" fillId="0" borderId="0" xfId="0" applyNumberFormat="1" applyFont="1"/>
    <xf numFmtId="0" fontId="0" fillId="0" borderId="0" xfId="0"/>
    <xf numFmtId="0" fontId="0" fillId="2" borderId="10" xfId="0" applyFont="1" applyFill="1" applyBorder="1"/>
    <xf numFmtId="0" fontId="0" fillId="0" borderId="11" xfId="0" applyFont="1" applyBorder="1" applyAlignment="1">
      <alignment horizontal="left"/>
    </xf>
    <xf numFmtId="0" fontId="0" fillId="0" borderId="11" xfId="0" applyFont="1" applyBorder="1"/>
    <xf numFmtId="164" fontId="14" fillId="7" borderId="0" xfId="0" applyNumberFormat="1" applyFont="1" applyFill="1"/>
    <xf numFmtId="164" fontId="0" fillId="0" borderId="0" xfId="0" applyNumberFormat="1" applyAlignment="1">
      <alignment horizontal="left" vertical="center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8" fillId="0" borderId="0" xfId="0" applyFont="1"/>
    <xf numFmtId="0" fontId="15" fillId="16" borderId="0" xfId="0" applyFont="1" applyFill="1"/>
  </cellXfs>
  <cellStyles count="4"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pol.2018.05.033" TargetMode="External"/><Relationship Id="rId13" Type="http://schemas.openxmlformats.org/officeDocument/2006/relationships/hyperlink" Target="https://doi.org/10.1021/es0155884" TargetMode="External"/><Relationship Id="rId18" Type="http://schemas.openxmlformats.org/officeDocument/2006/relationships/hyperlink" Target="https://doi.org/10.1016/j.resconrec.2020.105200" TargetMode="External"/><Relationship Id="rId3" Type="http://schemas.openxmlformats.org/officeDocument/2006/relationships/hyperlink" Target="https://doi.org/10.1016/j.jclepro.2018.10.154" TargetMode="External"/><Relationship Id="rId21" Type="http://schemas.openxmlformats.org/officeDocument/2006/relationships/hyperlink" Target="https://doi.org/10.1007/s11367-013-0632-y" TargetMode="External"/><Relationship Id="rId7" Type="http://schemas.openxmlformats.org/officeDocument/2006/relationships/hyperlink" Target="https://doi.org/10.1016/j.jclepro.2013.07.003" TargetMode="External"/><Relationship Id="rId12" Type="http://schemas.openxmlformats.org/officeDocument/2006/relationships/hyperlink" Target="https://doi.org/10.1016/j.enpol.2012.12.053" TargetMode="External"/><Relationship Id="rId17" Type="http://schemas.openxmlformats.org/officeDocument/2006/relationships/hyperlink" Target="http://iinas.org/gemis-download.html" TargetMode="External"/><Relationship Id="rId2" Type="http://schemas.openxmlformats.org/officeDocument/2006/relationships/hyperlink" Target="https://doi.org/10.1016/B978-0-12-385971-6.00012-9" TargetMode="External"/><Relationship Id="rId16" Type="http://schemas.openxmlformats.org/officeDocument/2006/relationships/hyperlink" Target="https://doi.org/10.1038/ngeo1993" TargetMode="External"/><Relationship Id="rId20" Type="http://schemas.openxmlformats.org/officeDocument/2006/relationships/hyperlink" Target="https://doi.org/10.1016/j.jclepro.2010.05.008" TargetMode="External"/><Relationship Id="rId1" Type="http://schemas.openxmlformats.org/officeDocument/2006/relationships/hyperlink" Target="https://doi.org/10.1016/j.envsoft.2017.09.010" TargetMode="External"/><Relationship Id="rId6" Type="http://schemas.openxmlformats.org/officeDocument/2006/relationships/hyperlink" Target="https://doi.org/10.3390/su10062022" TargetMode="External"/><Relationship Id="rId11" Type="http://schemas.openxmlformats.org/officeDocument/2006/relationships/hyperlink" Target="https://doi.org/10.1016/j.enpol.2018.04.056" TargetMode="External"/><Relationship Id="rId24" Type="http://schemas.openxmlformats.org/officeDocument/2006/relationships/hyperlink" Target="https://doi.org/10.1016/j.joule.2023.01.001" TargetMode="External"/><Relationship Id="rId5" Type="http://schemas.openxmlformats.org/officeDocument/2006/relationships/hyperlink" Target="https://doi.org/10.1016/j.esr.2019.100399" TargetMode="External"/><Relationship Id="rId15" Type="http://schemas.openxmlformats.org/officeDocument/2006/relationships/hyperlink" Target="https://doi.org/10.1016/j.rser.2018.05.041" TargetMode="External"/><Relationship Id="rId23" Type="http://schemas.openxmlformats.org/officeDocument/2006/relationships/hyperlink" Target="https://doi.org/10.1016/j.resconrec.2021.106105" TargetMode="External"/><Relationship Id="rId10" Type="http://schemas.openxmlformats.org/officeDocument/2006/relationships/hyperlink" Target="https://doi.org/10.1038/s41467-019-13067-8" TargetMode="External"/><Relationship Id="rId19" Type="http://schemas.openxmlformats.org/officeDocument/2006/relationships/hyperlink" Target="https://doi.org/10.1007/s11367-011-0335-1" TargetMode="External"/><Relationship Id="rId4" Type="http://schemas.openxmlformats.org/officeDocument/2006/relationships/hyperlink" Target="https://doi.org/10.1016/j.apenergy.2016.07.058" TargetMode="External"/><Relationship Id="rId9" Type="http://schemas.openxmlformats.org/officeDocument/2006/relationships/hyperlink" Target="https://doi.org/10.1016/j.resconrec.2020.104906" TargetMode="External"/><Relationship Id="rId14" Type="http://schemas.openxmlformats.org/officeDocument/2006/relationships/hyperlink" Target="https://doi.org/10.1016/j.apenergy.2018.05.047" TargetMode="External"/><Relationship Id="rId22" Type="http://schemas.openxmlformats.org/officeDocument/2006/relationships/hyperlink" Target="https://doi.org/10.1016/j.resconrec.2021.1057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20.10520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rsc.org/en/content/articlelanding/2015/ee/c5ee00585j" TargetMode="External"/><Relationship Id="rId18" Type="http://schemas.openxmlformats.org/officeDocument/2006/relationships/hyperlink" Target="http://esu-services.ch/fileadmin/download/publicLCI/flury-2012-hydroelectric-power-generation.pdf" TargetMode="External"/><Relationship Id="rId26" Type="http://schemas.openxmlformats.org/officeDocument/2006/relationships/hyperlink" Target="https://www.bnl.gov/pv/files/pdf/226_Task12_LifeCycle_Inventories.pdf" TargetMode="External"/><Relationship Id="rId39" Type="http://schemas.openxmlformats.org/officeDocument/2006/relationships/hyperlink" Target="https://pdfs.semanticscholar.org/519e/a5c55a312f3f45ccfcc4a093a941366c6658.pdf" TargetMode="External"/><Relationship Id="rId21" Type="http://schemas.openxmlformats.org/officeDocument/2006/relationships/hyperlink" Target="https://www.nrel.gov/docs/fy05osti/37656.pdf" TargetMode="External"/><Relationship Id="rId34" Type="http://schemas.openxmlformats.org/officeDocument/2006/relationships/hyperlink" Target="https://www.energy.gov/sites/prod/files/2014/02/f7/lifecycle_analysis_of_geothermal_systems.pdf" TargetMode="External"/><Relationship Id="rId42" Type="http://schemas.openxmlformats.org/officeDocument/2006/relationships/hyperlink" Target="https://www.osti.gov/servlets/purl/5100383" TargetMode="External"/><Relationship Id="rId47" Type="http://schemas.openxmlformats.org/officeDocument/2006/relationships/hyperlink" Target="https://www.nrel.gov/docs/fy99osti/25119.pdf" TargetMode="External"/><Relationship Id="rId50" Type="http://schemas.openxmlformats.org/officeDocument/2006/relationships/hyperlink" Target="https://www.osti.gov/servlets/purl/5100383" TargetMode="External"/><Relationship Id="rId7" Type="http://schemas.openxmlformats.org/officeDocument/2006/relationships/hyperlink" Target="https://www.sciencedirect.com/science/article/abs/pii/S0360544212008055" TargetMode="External"/><Relationship Id="rId2" Type="http://schemas.openxmlformats.org/officeDocument/2006/relationships/hyperlink" Target="https://www.vestas.com/~/media/vestas/about/sustainability/pdfs/lcav11020mw181215.pdf" TargetMode="External"/><Relationship Id="rId16" Type="http://schemas.openxmlformats.org/officeDocument/2006/relationships/hyperlink" Target="https://www.sciencedirect.com/science/article/abs/pii/S0921800914003681" TargetMode="External"/><Relationship Id="rId29" Type="http://schemas.openxmlformats.org/officeDocument/2006/relationships/hyperlink" Target="https://www.energy.gov/sites/prod/files/2014/02/f7/lifecycle_analysis_of_geothermal_systems.pdf" TargetMode="External"/><Relationship Id="rId11" Type="http://schemas.openxmlformats.org/officeDocument/2006/relationships/hyperlink" Target="https://tethys.pnnl.gov/publications/life-cycle-environmental-impact-onshore-offshore-wind-farms-texas" TargetMode="External"/><Relationship Id="rId24" Type="http://schemas.openxmlformats.org/officeDocument/2006/relationships/hyperlink" Target="https://www.irena.org/-/media/Files/IRENA/Agency/Publication/2017/Jun/IRENA_Leveraging_for_Solar_PV_2017.pdf" TargetMode="External"/><Relationship Id="rId32" Type="http://schemas.openxmlformats.org/officeDocument/2006/relationships/hyperlink" Target="http://www.china-embassy.org/eng/zt/sxgc/t36512.htm" TargetMode="External"/><Relationship Id="rId37" Type="http://schemas.openxmlformats.org/officeDocument/2006/relationships/hyperlink" Target="https://www.sciencedirect.com/science/article/pii/S0375650517302912" TargetMode="External"/><Relationship Id="rId40" Type="http://schemas.openxmlformats.org/officeDocument/2006/relationships/hyperlink" Target="https://www.sciencedirect.com/science/article/abs/pii/S0921800914003681" TargetMode="External"/><Relationship Id="rId45" Type="http://schemas.openxmlformats.org/officeDocument/2006/relationships/hyperlink" Target="https://www.sciencedirect.com/science/article/abs/pii/S0196890497000058" TargetMode="External"/><Relationship Id="rId5" Type="http://schemas.openxmlformats.org/officeDocument/2006/relationships/hyperlink" Target="https://doi.org/10.1016/j.enpol.2011.11.018" TargetMode="External"/><Relationship Id="rId15" Type="http://schemas.openxmlformats.org/officeDocument/2006/relationships/hyperlink" Target="https://copperalliance.org/wp-content/uploads/2017/03/Projected-wind-solar-copper-demand-1.pdf" TargetMode="External"/><Relationship Id="rId23" Type="http://schemas.openxmlformats.org/officeDocument/2006/relationships/hyperlink" Target="https://www.sciencedirect.com/science/article/abs/pii/S0959652613004575?via%3Dihub" TargetMode="External"/><Relationship Id="rId28" Type="http://schemas.openxmlformats.org/officeDocument/2006/relationships/hyperlink" Target="http://esu-services.ch/fileadmin/download/publicLCI/flury-2012-hydroelectric-power-generation.pdf" TargetMode="External"/><Relationship Id="rId36" Type="http://schemas.openxmlformats.org/officeDocument/2006/relationships/hyperlink" Target="https://www.mdpi.com/2071-1050/12/7/2786" TargetMode="External"/><Relationship Id="rId49" Type="http://schemas.openxmlformats.org/officeDocument/2006/relationships/hyperlink" Target="https://www.nrel.gov/docs/fy00osti/27715.pdf" TargetMode="External"/><Relationship Id="rId10" Type="http://schemas.openxmlformats.org/officeDocument/2006/relationships/hyperlink" Target="https://www.sciencedirect.com/science/article/abs/pii/S0921800914003681" TargetMode="External"/><Relationship Id="rId19" Type="http://schemas.openxmlformats.org/officeDocument/2006/relationships/hyperlink" Target="https://www.sciencedirect.com/science/article/pii/S0301421518302726" TargetMode="External"/><Relationship Id="rId31" Type="http://schemas.openxmlformats.org/officeDocument/2006/relationships/hyperlink" Target="https://www.britannica.com/topic/Three-Gorges-Dam" TargetMode="External"/><Relationship Id="rId44" Type="http://schemas.openxmlformats.org/officeDocument/2006/relationships/hyperlink" Target="https://www.sciencedirect.com/science/article/abs/pii/S0921344915000555" TargetMode="External"/><Relationship Id="rId52" Type="http://schemas.openxmlformats.org/officeDocument/2006/relationships/hyperlink" Target="https://pubs.er.usgs.gov/publication/pp1006AB" TargetMode="External"/><Relationship Id="rId4" Type="http://schemas.openxmlformats.org/officeDocument/2006/relationships/hyperlink" Target="https://www.energy.gov/sites/prod/files/2019/06/f63/DOE_CMS2011_FINAL_Full_1.pdf" TargetMode="External"/><Relationship Id="rId9" Type="http://schemas.openxmlformats.org/officeDocument/2006/relationships/hyperlink" Target="https://copperalliance.org/wp-content/uploads/2017/03/Projected-wind-solar-copper-demand-1.pdf" TargetMode="External"/><Relationship Id="rId14" Type="http://schemas.openxmlformats.org/officeDocument/2006/relationships/hyperlink" Target="http://www.world-aluminium.org/media/filer_public/2013/01/15/fl0000407.pdf" TargetMode="External"/><Relationship Id="rId22" Type="http://schemas.openxmlformats.org/officeDocument/2006/relationships/hyperlink" Target="https://www.bnl.gov/pv/files/pdf/226_Task12_LifeCycle_Inventories.pdf" TargetMode="External"/><Relationship Id="rId27" Type="http://schemas.openxmlformats.org/officeDocument/2006/relationships/hyperlink" Target="https://treeze.ch/fileadmin/user_upload/downloads/Publications/Case_Studies/Energy/IEA-PVPS-LCI-report-2020-20201208.pdf" TargetMode="External"/><Relationship Id="rId30" Type="http://schemas.openxmlformats.org/officeDocument/2006/relationships/hyperlink" Target="https://www.sciencedirect.com/science/article/abs/pii/S0921800914003681" TargetMode="External"/><Relationship Id="rId35" Type="http://schemas.openxmlformats.org/officeDocument/2006/relationships/hyperlink" Target="https://www.mdpi.com/1996-1073/13/11/2839" TargetMode="External"/><Relationship Id="rId43" Type="http://schemas.openxmlformats.org/officeDocument/2006/relationships/hyperlink" Target="https://catalog.hathitrust.org/Record/101828841" TargetMode="External"/><Relationship Id="rId48" Type="http://schemas.openxmlformats.org/officeDocument/2006/relationships/hyperlink" Target="https://www.sciencedirect.com/science/article/abs/pii/S0920379600001587" TargetMode="External"/><Relationship Id="rId8" Type="http://schemas.openxmlformats.org/officeDocument/2006/relationships/hyperlink" Target="https://www.sciencedirect.com/science/article/abs/pii/S0959652615009920" TargetMode="External"/><Relationship Id="rId51" Type="http://schemas.openxmlformats.org/officeDocument/2006/relationships/hyperlink" Target="https://www.osti.gov/servlets/purl/7269803" TargetMode="External"/><Relationship Id="rId3" Type="http://schemas.openxmlformats.org/officeDocument/2006/relationships/hyperlink" Target="https://www.vestas.com/~/media/vestas/about/sustainability/pdfs/lca_v902mw_version1.pdf" TargetMode="External"/><Relationship Id="rId12" Type="http://schemas.openxmlformats.org/officeDocument/2006/relationships/hyperlink" Target="https://www.vestas.com/~/media/vestas/about/sustainability/pdfs/lca_v80_2004_uk.ashx" TargetMode="External"/><Relationship Id="rId17" Type="http://schemas.openxmlformats.org/officeDocument/2006/relationships/hyperlink" Target="https://www.sciencedirect.com/science/article/abs/pii/S036054421200374X" TargetMode="External"/><Relationship Id="rId25" Type="http://schemas.openxmlformats.org/officeDocument/2006/relationships/hyperlink" Target="https://publications.jrc.ec.europa.eu/repository/handle/JRC67978" TargetMode="External"/><Relationship Id="rId33" Type="http://schemas.openxmlformats.org/officeDocument/2006/relationships/hyperlink" Target="https://link.springer.com/article/10.1007/s11367-014-0842-y" TargetMode="External"/><Relationship Id="rId38" Type="http://schemas.openxmlformats.org/officeDocument/2006/relationships/hyperlink" Target="https://pdfs.semanticscholar.org/519e/a5c55a312f3f45ccfcc4a093a941366c6658.pdf" TargetMode="External"/><Relationship Id="rId46" Type="http://schemas.openxmlformats.org/officeDocument/2006/relationships/hyperlink" Target="https://www.energy.gov/sites/prod/files/2014/02/f7/lifecycle_analysis_of_geothermal_systems.pdf" TargetMode="External"/><Relationship Id="rId20" Type="http://schemas.openxmlformats.org/officeDocument/2006/relationships/hyperlink" Target="https://pubs.rsc.org/en/content/articlelanding/2015/ee/c4ee04073b" TargetMode="External"/><Relationship Id="rId41" Type="http://schemas.openxmlformats.org/officeDocument/2006/relationships/hyperlink" Target="https://inis.iaea.org/collection/NCLCollectionStore/_Public/05/148/5148861.pdf" TargetMode="External"/><Relationship Id="rId1" Type="http://schemas.openxmlformats.org/officeDocument/2006/relationships/hyperlink" Target="https://www.vestas.com/~/media/vestas/about/sustainability/pdfs/lcav10020mw181215.pdf" TargetMode="External"/><Relationship Id="rId6" Type="http://schemas.openxmlformats.org/officeDocument/2006/relationships/hyperlink" Target="https://pubs.usgs.gov/sir/2011/5036/sir2011-50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45" zoomScale="80" zoomScaleNormal="80" workbookViewId="0">
      <selection activeCell="D53" sqref="D53"/>
    </sheetView>
  </sheetViews>
  <sheetFormatPr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style="23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E1" s="1"/>
      <c r="H1" s="3"/>
    </row>
    <row r="2" spans="1:12">
      <c r="B2" s="128" t="s">
        <v>0</v>
      </c>
      <c r="C2" s="129"/>
      <c r="D2" s="130"/>
      <c r="E2" s="1"/>
      <c r="F2" s="128" t="s">
        <v>1</v>
      </c>
      <c r="G2" s="129"/>
      <c r="H2" s="129"/>
      <c r="I2" s="130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131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132"/>
      <c r="C5" s="49" t="s">
        <v>9</v>
      </c>
      <c r="D5" s="10" t="s">
        <v>1081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11</v>
      </c>
      <c r="E6" s="1" t="s">
        <v>7</v>
      </c>
      <c r="F6" s="7" t="s">
        <v>12</v>
      </c>
      <c r="G6" s="36" t="s">
        <v>13</v>
      </c>
      <c r="H6" s="2"/>
      <c r="I6" s="8"/>
      <c r="L6" s="1"/>
    </row>
    <row r="7" spans="1:12">
      <c r="A7">
        <v>4</v>
      </c>
      <c r="B7" s="133" t="s">
        <v>14</v>
      </c>
      <c r="C7" s="49" t="s">
        <v>15</v>
      </c>
      <c r="D7" s="10" t="s">
        <v>1082</v>
      </c>
      <c r="E7" s="1" t="s">
        <v>7</v>
      </c>
      <c r="F7" s="7" t="s">
        <v>16</v>
      </c>
      <c r="G7" s="36" t="s">
        <v>17</v>
      </c>
      <c r="H7" s="9"/>
      <c r="I7" s="10"/>
      <c r="L7" s="1"/>
    </row>
    <row r="8" spans="1:12">
      <c r="A8">
        <v>5</v>
      </c>
      <c r="B8" s="133"/>
      <c r="C8" s="49" t="s">
        <v>18</v>
      </c>
      <c r="D8" s="10">
        <v>3</v>
      </c>
      <c r="E8" s="1" t="s">
        <v>7</v>
      </c>
      <c r="F8" s="7" t="s">
        <v>19</v>
      </c>
      <c r="G8" s="36" t="s">
        <v>17</v>
      </c>
      <c r="H8" s="3"/>
      <c r="I8" s="11"/>
      <c r="L8" s="1"/>
    </row>
    <row r="9" spans="1:12">
      <c r="A9">
        <v>6</v>
      </c>
      <c r="B9" s="133"/>
      <c r="C9" s="49" t="s">
        <v>20</v>
      </c>
      <c r="D9" s="10" t="s">
        <v>21</v>
      </c>
      <c r="E9" s="1" t="s">
        <v>7</v>
      </c>
      <c r="F9" s="7" t="s">
        <v>22</v>
      </c>
      <c r="G9" s="36" t="s">
        <v>17</v>
      </c>
      <c r="H9" s="3"/>
      <c r="I9" s="11"/>
      <c r="L9" s="1"/>
    </row>
    <row r="10" spans="1:12">
      <c r="A10">
        <v>7</v>
      </c>
      <c r="B10" s="133"/>
      <c r="C10" s="49" t="s">
        <v>23</v>
      </c>
      <c r="D10" s="10" t="s">
        <v>1079</v>
      </c>
      <c r="E10" s="1" t="s">
        <v>7</v>
      </c>
      <c r="F10" s="12" t="s">
        <v>24</v>
      </c>
      <c r="G10" s="13" t="s">
        <v>17</v>
      </c>
      <c r="H10" s="14" t="s">
        <v>25</v>
      </c>
      <c r="I10" s="15">
        <v>162</v>
      </c>
      <c r="L10" s="1"/>
    </row>
    <row r="11" spans="1:12">
      <c r="A11">
        <v>8</v>
      </c>
      <c r="B11" s="134" t="s">
        <v>26</v>
      </c>
      <c r="C11" s="51" t="s">
        <v>27</v>
      </c>
      <c r="D11" s="52" t="s">
        <v>1083</v>
      </c>
      <c r="E11" s="1" t="s">
        <v>7</v>
      </c>
      <c r="F11" s="7" t="s">
        <v>28</v>
      </c>
      <c r="G11" s="16" t="s">
        <v>29</v>
      </c>
      <c r="H11" s="16" t="s">
        <v>30</v>
      </c>
      <c r="I11" s="17" t="s">
        <v>31</v>
      </c>
      <c r="L11" s="1"/>
    </row>
    <row r="12" spans="1:12">
      <c r="A12">
        <v>9</v>
      </c>
      <c r="B12" s="135"/>
      <c r="C12" s="51" t="s">
        <v>32</v>
      </c>
      <c r="D12" s="10" t="s">
        <v>1084</v>
      </c>
      <c r="E12" s="1" t="s">
        <v>7</v>
      </c>
      <c r="F12" s="37" t="s">
        <v>1091</v>
      </c>
      <c r="G12" s="5">
        <v>1</v>
      </c>
      <c r="H12" s="38" t="s">
        <v>33</v>
      </c>
      <c r="I12" s="39"/>
      <c r="L12" s="1"/>
    </row>
    <row r="13" spans="1:12">
      <c r="A13">
        <v>10</v>
      </c>
      <c r="B13" s="135"/>
      <c r="C13" s="51" t="s">
        <v>34</v>
      </c>
      <c r="D13" s="10" t="s">
        <v>1087</v>
      </c>
      <c r="E13" s="1" t="s">
        <v>7</v>
      </c>
      <c r="F13" s="37" t="s">
        <v>1095</v>
      </c>
      <c r="G13" s="5">
        <v>1</v>
      </c>
      <c r="H13" s="38" t="s">
        <v>36</v>
      </c>
      <c r="I13" s="39"/>
      <c r="L13" s="1"/>
    </row>
    <row r="14" spans="1:12">
      <c r="A14">
        <v>11</v>
      </c>
      <c r="B14" s="135"/>
      <c r="C14" s="51" t="s">
        <v>37</v>
      </c>
      <c r="D14" s="10" t="s">
        <v>1085</v>
      </c>
      <c r="E14" s="1" t="s">
        <v>7</v>
      </c>
      <c r="F14" s="117" t="s">
        <v>1080</v>
      </c>
      <c r="G14" s="5">
        <v>1</v>
      </c>
      <c r="H14" s="38" t="s">
        <v>38</v>
      </c>
      <c r="I14" s="39"/>
      <c r="L14" s="1"/>
    </row>
    <row r="15" spans="1:12">
      <c r="A15">
        <v>12</v>
      </c>
      <c r="B15" s="135"/>
      <c r="C15" s="51" t="s">
        <v>39</v>
      </c>
      <c r="D15" s="10" t="s">
        <v>40</v>
      </c>
      <c r="E15" s="1" t="s">
        <v>7</v>
      </c>
      <c r="F15" s="117" t="s">
        <v>115</v>
      </c>
      <c r="G15" s="5">
        <v>1</v>
      </c>
      <c r="H15" s="38" t="s">
        <v>1097</v>
      </c>
      <c r="I15" s="39"/>
      <c r="L15" s="1"/>
    </row>
    <row r="16" spans="1:12">
      <c r="A16">
        <v>13</v>
      </c>
      <c r="B16" s="135"/>
      <c r="C16" s="51" t="s">
        <v>41</v>
      </c>
      <c r="D16" s="10" t="s">
        <v>42</v>
      </c>
      <c r="E16" s="1" t="s">
        <v>7</v>
      </c>
      <c r="F16" s="37" t="s">
        <v>1092</v>
      </c>
      <c r="G16" s="5">
        <v>1</v>
      </c>
      <c r="H16" s="38" t="s">
        <v>43</v>
      </c>
      <c r="I16" s="39"/>
      <c r="L16" s="1"/>
    </row>
    <row r="17" spans="1:15">
      <c r="A17">
        <v>14</v>
      </c>
      <c r="B17" s="135"/>
      <c r="C17" s="51" t="s">
        <v>44</v>
      </c>
      <c r="D17" s="10" t="s">
        <v>1088</v>
      </c>
      <c r="E17" s="1" t="s">
        <v>7</v>
      </c>
      <c r="F17" s="37" t="s">
        <v>1093</v>
      </c>
      <c r="G17" s="5">
        <v>1</v>
      </c>
      <c r="I17" s="35"/>
      <c r="L17" s="1"/>
    </row>
    <row r="18" spans="1:15">
      <c r="A18">
        <v>15</v>
      </c>
      <c r="B18" s="135"/>
      <c r="C18" s="51" t="s">
        <v>46</v>
      </c>
      <c r="D18" s="10" t="s">
        <v>47</v>
      </c>
      <c r="E18" s="1" t="s">
        <v>7</v>
      </c>
      <c r="F18" s="37" t="s">
        <v>1096</v>
      </c>
      <c r="G18" s="5">
        <v>1</v>
      </c>
      <c r="I18" s="35"/>
      <c r="L18" s="1"/>
    </row>
    <row r="19" spans="1:15">
      <c r="A19">
        <v>16</v>
      </c>
      <c r="B19" s="135"/>
      <c r="C19" s="51" t="s">
        <v>48</v>
      </c>
      <c r="D19" s="10" t="s">
        <v>1089</v>
      </c>
      <c r="E19" s="1" t="s">
        <v>7</v>
      </c>
      <c r="F19" s="34"/>
      <c r="G19" s="5"/>
      <c r="I19" s="35"/>
      <c r="L19" s="1"/>
    </row>
    <row r="20" spans="1:15">
      <c r="A20">
        <v>17</v>
      </c>
      <c r="B20" s="135"/>
      <c r="C20" s="51" t="s">
        <v>49</v>
      </c>
      <c r="D20" s="10" t="s">
        <v>50</v>
      </c>
      <c r="E20" s="1" t="s">
        <v>7</v>
      </c>
      <c r="F20" s="34"/>
      <c r="I20" s="35"/>
      <c r="L20" s="1"/>
    </row>
    <row r="21" spans="1:15">
      <c r="A21">
        <v>18</v>
      </c>
      <c r="B21" s="136" t="s">
        <v>51</v>
      </c>
      <c r="C21" s="51" t="s">
        <v>52</v>
      </c>
      <c r="D21" s="10" t="s">
        <v>1086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36"/>
      <c r="C22" s="51" t="s">
        <v>53</v>
      </c>
      <c r="D22" s="10" t="s">
        <v>54</v>
      </c>
      <c r="E22" s="1" t="s">
        <v>7</v>
      </c>
      <c r="L22" s="1"/>
    </row>
    <row r="23" spans="1:15">
      <c r="A23">
        <v>20</v>
      </c>
      <c r="B23" s="136"/>
      <c r="C23" s="51" t="s">
        <v>55</v>
      </c>
      <c r="D23" s="10" t="s">
        <v>1098</v>
      </c>
      <c r="E23" s="1" t="s">
        <v>7</v>
      </c>
      <c r="L23" s="1"/>
      <c r="N23" s="18"/>
    </row>
    <row r="24" spans="1:15">
      <c r="A24">
        <v>21</v>
      </c>
      <c r="B24" s="136"/>
      <c r="C24" s="51" t="s">
        <v>56</v>
      </c>
      <c r="D24" s="53" t="s">
        <v>57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36"/>
      <c r="C25" s="51" t="s">
        <v>43</v>
      </c>
      <c r="D25" s="118" t="s">
        <v>58</v>
      </c>
      <c r="E25" s="1" t="s">
        <v>7</v>
      </c>
      <c r="G25" s="18"/>
      <c r="L25" s="1"/>
      <c r="N25" s="2"/>
    </row>
    <row r="26" spans="1:15">
      <c r="A26">
        <v>23</v>
      </c>
      <c r="B26" s="122" t="s">
        <v>59</v>
      </c>
      <c r="C26" s="55" t="s">
        <v>60</v>
      </c>
      <c r="D26" s="10" t="s">
        <v>1091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22"/>
      <c r="C27" s="55" t="s">
        <v>61</v>
      </c>
      <c r="D27" s="118">
        <v>6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22"/>
      <c r="C28" s="55" t="s">
        <v>62</v>
      </c>
      <c r="D28" s="10" t="s">
        <v>1095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22"/>
      <c r="C29" s="55" t="s">
        <v>63</v>
      </c>
      <c r="D29" s="10">
        <v>83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22"/>
      <c r="C30" s="55" t="s">
        <v>64</v>
      </c>
      <c r="D30" s="10" t="s">
        <v>1080</v>
      </c>
      <c r="E30" s="1" t="s">
        <v>7</v>
      </c>
      <c r="G30" s="2"/>
      <c r="H30" s="1"/>
      <c r="N30" s="2"/>
    </row>
    <row r="31" spans="1:15">
      <c r="A31">
        <v>28</v>
      </c>
      <c r="B31" s="122"/>
      <c r="C31" s="55" t="s">
        <v>65</v>
      </c>
      <c r="D31" s="10">
        <v>14</v>
      </c>
      <c r="E31" s="1" t="s">
        <v>7</v>
      </c>
      <c r="G31" s="2"/>
      <c r="H31" s="1"/>
      <c r="N31" s="2"/>
    </row>
    <row r="32" spans="1:15">
      <c r="A32">
        <v>29</v>
      </c>
      <c r="B32" s="122"/>
      <c r="C32" s="55" t="s">
        <v>66</v>
      </c>
      <c r="D32" s="10" t="s">
        <v>115</v>
      </c>
      <c r="E32" s="1" t="s">
        <v>7</v>
      </c>
      <c r="G32" s="2"/>
      <c r="N32" s="2"/>
    </row>
    <row r="33" spans="1:17">
      <c r="A33">
        <v>30</v>
      </c>
      <c r="B33" s="122"/>
      <c r="C33" s="55" t="s">
        <v>67</v>
      </c>
      <c r="D33" s="10">
        <v>2</v>
      </c>
      <c r="E33" s="1" t="s">
        <v>7</v>
      </c>
      <c r="G33" s="2"/>
      <c r="N33" s="2"/>
      <c r="O33" s="4"/>
    </row>
    <row r="34" spans="1:17">
      <c r="A34">
        <v>31</v>
      </c>
      <c r="B34" s="122"/>
      <c r="C34" s="55" t="s">
        <v>68</v>
      </c>
      <c r="D34" s="119" t="s">
        <v>1092</v>
      </c>
      <c r="E34" s="1" t="s">
        <v>7</v>
      </c>
      <c r="G34" s="2"/>
      <c r="N34" s="2"/>
      <c r="O34" s="4"/>
    </row>
    <row r="35" spans="1:17">
      <c r="A35">
        <v>32</v>
      </c>
      <c r="B35" s="122"/>
      <c r="C35" s="55" t="s">
        <v>69</v>
      </c>
      <c r="D35" s="118">
        <v>4</v>
      </c>
      <c r="E35" s="1" t="s">
        <v>7</v>
      </c>
      <c r="G35" s="2"/>
      <c r="H35" s="4"/>
      <c r="N35" s="2"/>
    </row>
    <row r="36" spans="1:17">
      <c r="A36">
        <v>33</v>
      </c>
      <c r="B36" s="122"/>
      <c r="C36" s="55" t="s">
        <v>70</v>
      </c>
      <c r="D36" s="52" t="s">
        <v>1093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22"/>
      <c r="C37" s="55" t="s">
        <v>71</v>
      </c>
      <c r="D37" s="52">
        <v>86</v>
      </c>
      <c r="E37" s="1"/>
      <c r="G37" s="2"/>
      <c r="N37" s="2"/>
    </row>
    <row r="38" spans="1:17">
      <c r="A38">
        <v>35</v>
      </c>
      <c r="B38" s="122"/>
      <c r="C38" s="55" t="s">
        <v>72</v>
      </c>
      <c r="D38" s="52" t="s">
        <v>1096</v>
      </c>
      <c r="E38" s="1" t="s">
        <v>7</v>
      </c>
      <c r="G38" s="2"/>
      <c r="H38" s="1"/>
      <c r="N38" s="2"/>
    </row>
    <row r="39" spans="1:17">
      <c r="A39">
        <v>36</v>
      </c>
      <c r="B39" s="122"/>
      <c r="C39" s="55" t="s">
        <v>73</v>
      </c>
      <c r="D39" s="52">
        <v>20</v>
      </c>
      <c r="E39" s="1" t="s">
        <v>7</v>
      </c>
      <c r="G39" s="2"/>
      <c r="N39" s="2"/>
    </row>
    <row r="40" spans="1:17">
      <c r="A40">
        <v>37</v>
      </c>
      <c r="B40" s="122"/>
      <c r="C40" s="55" t="s">
        <v>74</v>
      </c>
      <c r="D40" s="10" t="s">
        <v>35</v>
      </c>
      <c r="E40" s="1" t="s">
        <v>7</v>
      </c>
      <c r="G40" s="2"/>
      <c r="N40" s="2"/>
    </row>
    <row r="41" spans="1:17">
      <c r="A41">
        <v>38</v>
      </c>
      <c r="B41" s="122"/>
      <c r="C41" s="55" t="s">
        <v>75</v>
      </c>
      <c r="D41" s="10" t="s">
        <v>35</v>
      </c>
      <c r="E41" s="1" t="s">
        <v>7</v>
      </c>
      <c r="G41" s="2"/>
      <c r="N41" s="2"/>
    </row>
    <row r="42" spans="1:17">
      <c r="A42">
        <v>39</v>
      </c>
      <c r="B42" s="122"/>
      <c r="C42" s="55" t="s">
        <v>76</v>
      </c>
      <c r="D42" s="10" t="s">
        <v>35</v>
      </c>
      <c r="E42" s="1" t="s">
        <v>7</v>
      </c>
      <c r="G42" s="2"/>
      <c r="N42" s="2"/>
    </row>
    <row r="43" spans="1:17">
      <c r="A43">
        <v>40</v>
      </c>
      <c r="B43" s="122"/>
      <c r="C43" s="55" t="s">
        <v>77</v>
      </c>
      <c r="D43" s="10" t="s">
        <v>35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22"/>
      <c r="C44" s="55" t="s">
        <v>78</v>
      </c>
      <c r="D44" s="10" t="s">
        <v>35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22"/>
      <c r="C45" s="55" t="s">
        <v>79</v>
      </c>
      <c r="D45" s="10" t="s">
        <v>35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22"/>
      <c r="C46" s="55" t="s">
        <v>80</v>
      </c>
      <c r="D46" s="10" t="s">
        <v>35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22"/>
      <c r="C47" s="55" t="s">
        <v>81</v>
      </c>
      <c r="D47" s="10" t="s">
        <v>35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22"/>
      <c r="C48" s="55" t="s">
        <v>82</v>
      </c>
      <c r="D48" s="10" t="s">
        <v>35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22"/>
      <c r="C49" s="55" t="s">
        <v>83</v>
      </c>
      <c r="D49" s="10" t="s">
        <v>35</v>
      </c>
      <c r="E49" s="1" t="s">
        <v>7</v>
      </c>
      <c r="G49" s="3"/>
      <c r="H49" s="5"/>
      <c r="Q49" s="4"/>
    </row>
    <row r="50" spans="1:17">
      <c r="A50">
        <v>47</v>
      </c>
      <c r="B50" s="122"/>
      <c r="C50" s="51" t="s">
        <v>84</v>
      </c>
      <c r="D50" s="118" t="s">
        <v>58</v>
      </c>
      <c r="E50" s="1" t="s">
        <v>7</v>
      </c>
      <c r="H50" s="44"/>
    </row>
    <row r="51" spans="1:17">
      <c r="A51">
        <v>48</v>
      </c>
      <c r="B51" s="122"/>
      <c r="C51" s="51" t="s">
        <v>85</v>
      </c>
      <c r="D51" s="118" t="s">
        <v>86</v>
      </c>
      <c r="E51" s="1" t="s">
        <v>7</v>
      </c>
      <c r="H51" s="44"/>
    </row>
    <row r="52" spans="1:17">
      <c r="A52">
        <v>49</v>
      </c>
      <c r="B52" s="122"/>
      <c r="C52" s="51" t="s">
        <v>87</v>
      </c>
      <c r="D52" s="118" t="s">
        <v>88</v>
      </c>
      <c r="E52" s="1" t="s">
        <v>7</v>
      </c>
      <c r="H52" s="44"/>
    </row>
    <row r="53" spans="1:17" ht="15" customHeight="1">
      <c r="A53">
        <v>50</v>
      </c>
      <c r="B53" s="123" t="s">
        <v>89</v>
      </c>
      <c r="C53" s="49" t="s">
        <v>90</v>
      </c>
      <c r="D53" s="118" t="s">
        <v>1099</v>
      </c>
      <c r="E53" s="1" t="s">
        <v>7</v>
      </c>
    </row>
    <row r="54" spans="1:17">
      <c r="A54">
        <v>51</v>
      </c>
      <c r="B54" s="124"/>
      <c r="C54" s="49" t="s">
        <v>91</v>
      </c>
      <c r="D54" s="118" t="s">
        <v>1094</v>
      </c>
      <c r="E54" s="1" t="s">
        <v>7</v>
      </c>
    </row>
    <row r="55" spans="1:17">
      <c r="A55">
        <v>52</v>
      </c>
      <c r="B55" s="124"/>
      <c r="C55" s="49" t="s">
        <v>92</v>
      </c>
      <c r="D55" s="54" t="s">
        <v>58</v>
      </c>
      <c r="E55" s="1" t="s">
        <v>7</v>
      </c>
    </row>
    <row r="56" spans="1:17">
      <c r="A56">
        <v>53</v>
      </c>
      <c r="B56" s="124"/>
      <c r="C56" s="49" t="s">
        <v>93</v>
      </c>
      <c r="D56" s="54" t="s">
        <v>58</v>
      </c>
      <c r="E56" s="1" t="s">
        <v>7</v>
      </c>
    </row>
    <row r="57" spans="1:17">
      <c r="A57">
        <v>54</v>
      </c>
      <c r="B57" s="124"/>
      <c r="C57" s="51" t="s">
        <v>94</v>
      </c>
      <c r="D57" s="54" t="s">
        <v>58</v>
      </c>
      <c r="E57" s="1" t="s">
        <v>7</v>
      </c>
    </row>
    <row r="58" spans="1:17">
      <c r="A58">
        <v>55</v>
      </c>
      <c r="B58" s="124"/>
      <c r="C58" s="49" t="s">
        <v>95</v>
      </c>
      <c r="D58" s="54" t="s">
        <v>96</v>
      </c>
      <c r="E58" s="1" t="s">
        <v>7</v>
      </c>
    </row>
    <row r="59" spans="1:17">
      <c r="A59">
        <v>56</v>
      </c>
      <c r="B59" s="124"/>
      <c r="C59" s="49" t="s">
        <v>97</v>
      </c>
      <c r="D59" s="54" t="s">
        <v>96</v>
      </c>
      <c r="E59" s="1" t="s">
        <v>7</v>
      </c>
    </row>
    <row r="60" spans="1:17">
      <c r="A60">
        <v>57</v>
      </c>
      <c r="B60" s="124"/>
      <c r="C60" s="49" t="s">
        <v>98</v>
      </c>
      <c r="D60" s="52">
        <v>1</v>
      </c>
      <c r="E60" s="1" t="s">
        <v>7</v>
      </c>
    </row>
    <row r="61" spans="1:17" ht="15" customHeight="1">
      <c r="A61">
        <v>58</v>
      </c>
      <c r="B61" s="125" t="s">
        <v>99</v>
      </c>
      <c r="C61" s="49" t="s">
        <v>100</v>
      </c>
      <c r="D61" s="54" t="s">
        <v>96</v>
      </c>
      <c r="E61" s="1" t="s">
        <v>7</v>
      </c>
    </row>
    <row r="62" spans="1:17">
      <c r="A62">
        <v>59</v>
      </c>
      <c r="B62" s="124"/>
      <c r="C62" s="49" t="s">
        <v>101</v>
      </c>
      <c r="D62" s="56" t="s">
        <v>57</v>
      </c>
      <c r="E62" s="1" t="s">
        <v>7</v>
      </c>
    </row>
    <row r="63" spans="1:17">
      <c r="A63">
        <v>60</v>
      </c>
      <c r="B63" s="124"/>
      <c r="C63" s="49" t="s">
        <v>102</v>
      </c>
      <c r="D63" s="54" t="s">
        <v>103</v>
      </c>
      <c r="E63" s="1" t="s">
        <v>7</v>
      </c>
    </row>
    <row r="64" spans="1:17">
      <c r="A64">
        <v>61</v>
      </c>
      <c r="B64" s="124"/>
      <c r="C64" s="49" t="s">
        <v>104</v>
      </c>
      <c r="D64" s="54" t="s">
        <v>105</v>
      </c>
      <c r="E64" s="1" t="s">
        <v>7</v>
      </c>
    </row>
    <row r="65" spans="1:5">
      <c r="A65">
        <v>62</v>
      </c>
      <c r="B65" s="124"/>
      <c r="C65" s="49" t="s">
        <v>106</v>
      </c>
      <c r="D65" s="35"/>
      <c r="E65" s="1" t="s">
        <v>7</v>
      </c>
    </row>
    <row r="66" spans="1:5">
      <c r="A66">
        <v>63</v>
      </c>
      <c r="B66" s="124"/>
      <c r="C66" s="49" t="s">
        <v>107</v>
      </c>
      <c r="D66" s="35"/>
      <c r="E66" s="1" t="s">
        <v>7</v>
      </c>
    </row>
    <row r="67" spans="1:5">
      <c r="A67">
        <v>64</v>
      </c>
      <c r="B67" s="124"/>
      <c r="C67" s="49" t="s">
        <v>108</v>
      </c>
      <c r="D67" s="35"/>
      <c r="E67" s="1" t="s">
        <v>7</v>
      </c>
    </row>
    <row r="68" spans="1:5">
      <c r="A68">
        <v>65</v>
      </c>
      <c r="B68" s="126" t="s">
        <v>109</v>
      </c>
      <c r="C68" s="34" t="s">
        <v>110</v>
      </c>
      <c r="D68" s="35"/>
      <c r="E68" s="1" t="s">
        <v>7</v>
      </c>
    </row>
    <row r="69" spans="1:5">
      <c r="A69">
        <v>66</v>
      </c>
      <c r="B69" s="126"/>
      <c r="C69" s="34" t="s">
        <v>111</v>
      </c>
      <c r="D69" s="35"/>
      <c r="E69" s="1" t="s">
        <v>7</v>
      </c>
    </row>
    <row r="70" spans="1:5">
      <c r="A70">
        <v>67</v>
      </c>
      <c r="B70" s="126"/>
      <c r="C70" s="34" t="s">
        <v>112</v>
      </c>
      <c r="D70" s="35"/>
      <c r="E70" s="1" t="s">
        <v>7</v>
      </c>
    </row>
    <row r="71" spans="1:5">
      <c r="A71">
        <v>68</v>
      </c>
      <c r="B71" s="126"/>
      <c r="C71" s="34" t="s">
        <v>113</v>
      </c>
      <c r="D71" s="35"/>
      <c r="E71" s="1" t="s">
        <v>7</v>
      </c>
    </row>
    <row r="72" spans="1:5">
      <c r="A72">
        <v>69</v>
      </c>
      <c r="B72" s="127"/>
      <c r="C72" s="40" t="s">
        <v>114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3"/>
  <sheetViews>
    <sheetView topLeftCell="B139" zoomScale="90" zoomScaleNormal="90" workbookViewId="0">
      <selection activeCell="H54" sqref="H54"/>
    </sheetView>
  </sheetViews>
  <sheetFormatPr defaultColWidth="11.453125" defaultRowHeight="14.5"/>
  <cols>
    <col min="1" max="1" width="36.81640625" style="22" customWidth="1"/>
    <col min="2" max="2" width="37" style="22" customWidth="1"/>
    <col min="3" max="3" width="16.453125" style="22" customWidth="1"/>
    <col min="4" max="4" width="13.453125" style="22" customWidth="1"/>
    <col min="5" max="5" width="19.7265625" style="22" customWidth="1"/>
    <col min="6" max="6" width="25.81640625" style="22" customWidth="1"/>
    <col min="7" max="7" width="24.81640625" style="22" customWidth="1"/>
    <col min="8" max="8" width="17.7265625" style="22" bestFit="1" customWidth="1"/>
    <col min="9" max="9" width="16.08984375" style="22" bestFit="1" customWidth="1"/>
    <col min="10" max="10" width="18.6328125" style="22" bestFit="1" customWidth="1"/>
    <col min="11" max="11" width="24.6328125" style="22" customWidth="1"/>
    <col min="12" max="12" width="23.26953125" style="22" customWidth="1"/>
    <col min="13" max="13" width="24.6328125" style="22" customWidth="1"/>
    <col min="14" max="14" width="29.81640625" style="22" customWidth="1"/>
    <col min="15" max="15" width="28.6328125" style="22" bestFit="1" customWidth="1"/>
    <col min="16" max="16" width="26.1796875" style="22" customWidth="1"/>
    <col min="17" max="16384" width="11.453125" style="22"/>
  </cols>
  <sheetData>
    <row r="1" spans="1:15" s="29" customFormat="1">
      <c r="A1" s="21" t="s">
        <v>1091</v>
      </c>
      <c r="B1" s="21" t="s">
        <v>1095</v>
      </c>
      <c r="C1" s="21" t="s">
        <v>1080</v>
      </c>
      <c r="D1" s="21" t="s">
        <v>115</v>
      </c>
      <c r="E1" s="21" t="s">
        <v>1092</v>
      </c>
      <c r="F1" s="21" t="s">
        <v>1093</v>
      </c>
      <c r="G1" s="28" t="s">
        <v>1096</v>
      </c>
      <c r="H1" s="21" t="s">
        <v>33</v>
      </c>
      <c r="I1" s="28" t="s">
        <v>36</v>
      </c>
      <c r="J1" s="28" t="s">
        <v>38</v>
      </c>
      <c r="K1" s="28" t="s">
        <v>1097</v>
      </c>
      <c r="L1" s="28" t="s">
        <v>43</v>
      </c>
      <c r="M1" s="28" t="s">
        <v>45</v>
      </c>
      <c r="N1" s="28" t="s">
        <v>117</v>
      </c>
      <c r="O1" s="28" t="s">
        <v>116</v>
      </c>
    </row>
    <row r="2" spans="1:15">
      <c r="A2" t="s">
        <v>1090</v>
      </c>
      <c r="B2" s="22" t="s">
        <v>121</v>
      </c>
      <c r="C2" s="22" t="s">
        <v>122</v>
      </c>
      <c r="D2" s="22" t="s">
        <v>123</v>
      </c>
      <c r="E2" s="22" t="s">
        <v>124</v>
      </c>
      <c r="F2" s="22" t="s">
        <v>35</v>
      </c>
      <c r="G2" s="22" t="s">
        <v>125</v>
      </c>
      <c r="H2" s="62">
        <v>45</v>
      </c>
      <c r="I2" s="22" t="s">
        <v>126</v>
      </c>
      <c r="J2" s="22" t="s">
        <v>127</v>
      </c>
      <c r="K2" s="22" t="s">
        <v>35</v>
      </c>
      <c r="L2" s="22" t="s">
        <v>130</v>
      </c>
      <c r="M2" s="22" t="s">
        <v>128</v>
      </c>
      <c r="N2" s="22" t="s">
        <v>131</v>
      </c>
      <c r="O2" s="22" t="s">
        <v>129</v>
      </c>
    </row>
    <row r="3" spans="1:15">
      <c r="A3" s="116" t="s">
        <v>1090</v>
      </c>
      <c r="B3" s="22" t="s">
        <v>121</v>
      </c>
      <c r="C3" s="22" t="s">
        <v>122</v>
      </c>
      <c r="D3" s="22" t="s">
        <v>123</v>
      </c>
      <c r="E3" s="22" t="s">
        <v>118</v>
      </c>
      <c r="F3" s="22" t="s">
        <v>35</v>
      </c>
      <c r="G3" s="22" t="s">
        <v>125</v>
      </c>
      <c r="H3" s="62">
        <v>5250</v>
      </c>
      <c r="I3" s="22" t="s">
        <v>126</v>
      </c>
      <c r="J3" s="22" t="s">
        <v>127</v>
      </c>
      <c r="K3" s="22" t="s">
        <v>35</v>
      </c>
      <c r="L3" s="22" t="s">
        <v>130</v>
      </c>
      <c r="M3" s="22" t="s">
        <v>132</v>
      </c>
      <c r="N3" s="22" t="s">
        <v>131</v>
      </c>
      <c r="O3" s="22" t="s">
        <v>129</v>
      </c>
    </row>
    <row r="4" spans="1:15">
      <c r="A4" s="116" t="s">
        <v>1090</v>
      </c>
      <c r="B4" s="22" t="s">
        <v>121</v>
      </c>
      <c r="C4" s="22" t="s">
        <v>122</v>
      </c>
      <c r="D4" s="22" t="s">
        <v>123</v>
      </c>
      <c r="E4" s="22" t="s">
        <v>133</v>
      </c>
      <c r="F4" s="22" t="s">
        <v>35</v>
      </c>
      <c r="G4" s="22" t="s">
        <v>125</v>
      </c>
      <c r="H4" s="62" t="s">
        <v>134</v>
      </c>
      <c r="I4" s="22" t="s">
        <v>126</v>
      </c>
      <c r="J4" s="22" t="s">
        <v>127</v>
      </c>
      <c r="K4" s="22" t="s">
        <v>35</v>
      </c>
      <c r="L4" s="22" t="s">
        <v>130</v>
      </c>
      <c r="M4" s="22" t="s">
        <v>135</v>
      </c>
      <c r="N4" s="22" t="s">
        <v>131</v>
      </c>
      <c r="O4" s="22" t="s">
        <v>129</v>
      </c>
    </row>
    <row r="5" spans="1:15">
      <c r="A5" s="116" t="s">
        <v>1090</v>
      </c>
      <c r="B5" s="22" t="s">
        <v>121</v>
      </c>
      <c r="C5" s="22" t="s">
        <v>122</v>
      </c>
      <c r="D5" s="22" t="s">
        <v>123</v>
      </c>
      <c r="E5" s="22" t="s">
        <v>136</v>
      </c>
      <c r="F5" s="22" t="s">
        <v>35</v>
      </c>
      <c r="G5" s="22" t="s">
        <v>125</v>
      </c>
      <c r="H5" s="62" t="s">
        <v>137</v>
      </c>
      <c r="I5" s="22" t="s">
        <v>126</v>
      </c>
      <c r="J5" s="22" t="s">
        <v>127</v>
      </c>
      <c r="K5" s="22" t="s">
        <v>35</v>
      </c>
      <c r="L5" s="22" t="s">
        <v>130</v>
      </c>
      <c r="M5" s="22" t="s">
        <v>138</v>
      </c>
      <c r="N5" s="22" t="s">
        <v>131</v>
      </c>
      <c r="O5" s="22" t="s">
        <v>129</v>
      </c>
    </row>
    <row r="6" spans="1:15">
      <c r="A6" s="116" t="s">
        <v>1090</v>
      </c>
      <c r="B6" s="22" t="s">
        <v>139</v>
      </c>
      <c r="C6" s="22" t="s">
        <v>122</v>
      </c>
      <c r="D6" s="22" t="s">
        <v>123</v>
      </c>
      <c r="E6" s="22" t="s">
        <v>124</v>
      </c>
      <c r="F6" s="22" t="s">
        <v>35</v>
      </c>
      <c r="G6" s="22" t="s">
        <v>125</v>
      </c>
      <c r="H6" s="62">
        <v>25</v>
      </c>
      <c r="I6" s="22" t="s">
        <v>126</v>
      </c>
      <c r="J6" s="22" t="s">
        <v>127</v>
      </c>
      <c r="K6" s="22" t="s">
        <v>35</v>
      </c>
      <c r="L6" s="22" t="s">
        <v>130</v>
      </c>
      <c r="M6" s="22" t="s">
        <v>128</v>
      </c>
      <c r="N6" s="22" t="s">
        <v>131</v>
      </c>
      <c r="O6" s="22" t="s">
        <v>129</v>
      </c>
    </row>
    <row r="7" spans="1:15">
      <c r="A7" s="116" t="s">
        <v>1090</v>
      </c>
      <c r="B7" s="22" t="s">
        <v>139</v>
      </c>
      <c r="C7" s="22" t="s">
        <v>122</v>
      </c>
      <c r="D7" s="22" t="s">
        <v>123</v>
      </c>
      <c r="E7" s="22" t="s">
        <v>118</v>
      </c>
      <c r="F7" s="22" t="s">
        <v>35</v>
      </c>
      <c r="G7" s="22" t="s">
        <v>125</v>
      </c>
      <c r="H7" s="62">
        <v>2750</v>
      </c>
      <c r="I7" s="22" t="s">
        <v>126</v>
      </c>
      <c r="J7" s="22" t="s">
        <v>127</v>
      </c>
      <c r="K7" s="22" t="s">
        <v>35</v>
      </c>
      <c r="L7" s="22" t="s">
        <v>130</v>
      </c>
      <c r="M7" s="22" t="s">
        <v>132</v>
      </c>
      <c r="N7" s="22" t="s">
        <v>131</v>
      </c>
      <c r="O7" s="22" t="s">
        <v>129</v>
      </c>
    </row>
    <row r="8" spans="1:15">
      <c r="A8" s="116" t="s">
        <v>1090</v>
      </c>
      <c r="B8" s="22" t="s">
        <v>139</v>
      </c>
      <c r="C8" s="22" t="s">
        <v>122</v>
      </c>
      <c r="D8" s="22" t="s">
        <v>123</v>
      </c>
      <c r="E8" s="22" t="s">
        <v>133</v>
      </c>
      <c r="F8" s="22" t="s">
        <v>35</v>
      </c>
      <c r="G8" s="22" t="s">
        <v>125</v>
      </c>
      <c r="H8" s="62" t="s">
        <v>140</v>
      </c>
      <c r="I8" s="22" t="s">
        <v>126</v>
      </c>
      <c r="J8" s="22" t="s">
        <v>127</v>
      </c>
      <c r="K8" s="22" t="s">
        <v>35</v>
      </c>
      <c r="L8" s="22" t="s">
        <v>130</v>
      </c>
      <c r="M8" s="22" t="s">
        <v>135</v>
      </c>
      <c r="N8" s="22" t="s">
        <v>131</v>
      </c>
      <c r="O8" s="22" t="s">
        <v>129</v>
      </c>
    </row>
    <row r="9" spans="1:15">
      <c r="A9" s="116" t="s">
        <v>1090</v>
      </c>
      <c r="B9" s="22" t="s">
        <v>139</v>
      </c>
      <c r="C9" s="22" t="s">
        <v>122</v>
      </c>
      <c r="D9" s="22" t="s">
        <v>123</v>
      </c>
      <c r="E9" s="22" t="s">
        <v>136</v>
      </c>
      <c r="F9" s="22" t="s">
        <v>35</v>
      </c>
      <c r="G9" s="22" t="s">
        <v>125</v>
      </c>
      <c r="H9" s="62" t="s">
        <v>141</v>
      </c>
      <c r="I9" s="22" t="s">
        <v>126</v>
      </c>
      <c r="J9" s="22" t="s">
        <v>127</v>
      </c>
      <c r="K9" s="22" t="s">
        <v>35</v>
      </c>
      <c r="L9" s="22" t="s">
        <v>130</v>
      </c>
      <c r="M9" s="22" t="s">
        <v>138</v>
      </c>
      <c r="N9" s="22" t="s">
        <v>131</v>
      </c>
      <c r="O9" s="22" t="s">
        <v>129</v>
      </c>
    </row>
    <row r="10" spans="1:15">
      <c r="A10" s="116" t="s">
        <v>1090</v>
      </c>
      <c r="B10" s="22" t="s">
        <v>142</v>
      </c>
      <c r="C10" s="22" t="s">
        <v>122</v>
      </c>
      <c r="D10" s="22" t="s">
        <v>123</v>
      </c>
      <c r="E10" s="22" t="s">
        <v>124</v>
      </c>
      <c r="F10" s="22" t="s">
        <v>35</v>
      </c>
      <c r="G10" s="22" t="s">
        <v>125</v>
      </c>
      <c r="H10" s="62">
        <v>108</v>
      </c>
      <c r="I10" s="22" t="s">
        <v>126</v>
      </c>
      <c r="J10" s="22" t="s">
        <v>127</v>
      </c>
      <c r="K10" s="22" t="s">
        <v>35</v>
      </c>
      <c r="L10" s="22" t="s">
        <v>130</v>
      </c>
      <c r="M10" s="22" t="s">
        <v>143</v>
      </c>
      <c r="N10" s="22" t="s">
        <v>131</v>
      </c>
      <c r="O10" s="22" t="s">
        <v>129</v>
      </c>
    </row>
    <row r="11" spans="1:15">
      <c r="A11" s="116" t="s">
        <v>1090</v>
      </c>
      <c r="B11" s="22" t="s">
        <v>142</v>
      </c>
      <c r="C11" s="22" t="s">
        <v>122</v>
      </c>
      <c r="D11" s="22" t="s">
        <v>123</v>
      </c>
      <c r="E11" s="22" t="s">
        <v>118</v>
      </c>
      <c r="F11" s="22" t="s">
        <v>35</v>
      </c>
      <c r="G11" s="22" t="s">
        <v>125</v>
      </c>
      <c r="H11" s="62">
        <v>120</v>
      </c>
      <c r="I11" s="22" t="s">
        <v>126</v>
      </c>
      <c r="J11" s="22" t="s">
        <v>127</v>
      </c>
      <c r="K11" s="22" t="s">
        <v>35</v>
      </c>
      <c r="L11" s="22" t="s">
        <v>130</v>
      </c>
      <c r="N11" s="22" t="s">
        <v>131</v>
      </c>
      <c r="O11" s="22" t="s">
        <v>129</v>
      </c>
    </row>
    <row r="12" spans="1:15">
      <c r="A12" s="116" t="s">
        <v>1090</v>
      </c>
      <c r="B12" s="22" t="s">
        <v>142</v>
      </c>
      <c r="C12" s="22" t="s">
        <v>122</v>
      </c>
      <c r="D12" s="22" t="s">
        <v>123</v>
      </c>
      <c r="E12" s="22" t="s">
        <v>133</v>
      </c>
      <c r="F12" s="22" t="s">
        <v>35</v>
      </c>
      <c r="G12" s="22" t="s">
        <v>125</v>
      </c>
      <c r="H12" s="62" t="s">
        <v>144</v>
      </c>
      <c r="I12" s="22" t="s">
        <v>126</v>
      </c>
      <c r="J12" s="22" t="s">
        <v>127</v>
      </c>
      <c r="K12" s="22" t="s">
        <v>35</v>
      </c>
      <c r="L12" s="22" t="s">
        <v>130</v>
      </c>
      <c r="M12" s="22" t="s">
        <v>145</v>
      </c>
      <c r="N12" s="22" t="s">
        <v>131</v>
      </c>
      <c r="O12" s="22" t="s">
        <v>129</v>
      </c>
    </row>
    <row r="13" spans="1:15">
      <c r="A13" s="116" t="s">
        <v>1090</v>
      </c>
      <c r="B13" s="22" t="s">
        <v>142</v>
      </c>
      <c r="C13" s="22" t="s">
        <v>122</v>
      </c>
      <c r="D13" s="22" t="s">
        <v>123</v>
      </c>
      <c r="E13" s="22" t="s">
        <v>136</v>
      </c>
      <c r="F13" s="22" t="s">
        <v>35</v>
      </c>
      <c r="G13" s="22" t="s">
        <v>125</v>
      </c>
      <c r="H13" s="62" t="s">
        <v>146</v>
      </c>
      <c r="I13" s="22" t="s">
        <v>126</v>
      </c>
      <c r="J13" s="22" t="s">
        <v>127</v>
      </c>
      <c r="K13" s="22" t="s">
        <v>35</v>
      </c>
      <c r="L13" s="22" t="s">
        <v>130</v>
      </c>
      <c r="M13" s="22" t="s">
        <v>147</v>
      </c>
      <c r="N13" s="22" t="s">
        <v>131</v>
      </c>
      <c r="O13" s="22" t="s">
        <v>129</v>
      </c>
    </row>
    <row r="14" spans="1:15">
      <c r="A14" s="116" t="s">
        <v>1090</v>
      </c>
      <c r="B14" s="22" t="s">
        <v>148</v>
      </c>
      <c r="C14" s="22" t="s">
        <v>122</v>
      </c>
      <c r="D14" s="22" t="s">
        <v>123</v>
      </c>
      <c r="E14" s="22" t="s">
        <v>124</v>
      </c>
      <c r="F14" s="22" t="s">
        <v>35</v>
      </c>
      <c r="G14" s="22" t="s">
        <v>125</v>
      </c>
      <c r="H14" s="62">
        <v>142</v>
      </c>
      <c r="I14" s="22" t="s">
        <v>126</v>
      </c>
      <c r="J14" s="22" t="s">
        <v>127</v>
      </c>
      <c r="K14" s="22" t="s">
        <v>35</v>
      </c>
      <c r="L14" s="22" t="s">
        <v>130</v>
      </c>
      <c r="M14" s="22" t="s">
        <v>149</v>
      </c>
      <c r="N14" s="22" t="s">
        <v>131</v>
      </c>
      <c r="O14" s="22" t="s">
        <v>129</v>
      </c>
    </row>
    <row r="15" spans="1:15">
      <c r="A15" s="116" t="s">
        <v>1090</v>
      </c>
      <c r="B15" s="22" t="s">
        <v>148</v>
      </c>
      <c r="C15" s="22" t="s">
        <v>122</v>
      </c>
      <c r="D15" s="22" t="s">
        <v>123</v>
      </c>
      <c r="E15" s="22" t="s">
        <v>118</v>
      </c>
      <c r="F15" s="22" t="s">
        <v>35</v>
      </c>
      <c r="G15" s="22" t="s">
        <v>125</v>
      </c>
      <c r="H15" s="62">
        <v>502</v>
      </c>
      <c r="I15" s="22" t="s">
        <v>126</v>
      </c>
      <c r="J15" s="22" t="s">
        <v>127</v>
      </c>
      <c r="K15" s="22" t="s">
        <v>35</v>
      </c>
      <c r="L15" s="22" t="s">
        <v>130</v>
      </c>
      <c r="M15" s="22" t="s">
        <v>150</v>
      </c>
      <c r="N15" s="22" t="s">
        <v>131</v>
      </c>
      <c r="O15" s="22" t="s">
        <v>129</v>
      </c>
    </row>
    <row r="16" spans="1:15">
      <c r="A16" s="116" t="s">
        <v>1090</v>
      </c>
      <c r="B16" s="22" t="s">
        <v>148</v>
      </c>
      <c r="C16" s="22" t="s">
        <v>122</v>
      </c>
      <c r="D16" s="22" t="s">
        <v>123</v>
      </c>
      <c r="E16" s="22" t="s">
        <v>133</v>
      </c>
      <c r="F16" s="22" t="s">
        <v>35</v>
      </c>
      <c r="G16" s="22" t="s">
        <v>125</v>
      </c>
      <c r="H16" s="62" t="s">
        <v>151</v>
      </c>
      <c r="I16" s="22" t="s">
        <v>126</v>
      </c>
      <c r="J16" s="22" t="s">
        <v>127</v>
      </c>
      <c r="K16" s="22" t="s">
        <v>35</v>
      </c>
      <c r="L16" s="22" t="s">
        <v>130</v>
      </c>
      <c r="M16" s="22" t="s">
        <v>152</v>
      </c>
      <c r="N16" s="22" t="s">
        <v>131</v>
      </c>
      <c r="O16" s="22" t="s">
        <v>129</v>
      </c>
    </row>
    <row r="17" spans="1:15">
      <c r="A17" s="116" t="s">
        <v>1090</v>
      </c>
      <c r="B17" s="22" t="s">
        <v>148</v>
      </c>
      <c r="C17" s="22" t="s">
        <v>122</v>
      </c>
      <c r="D17" s="22" t="s">
        <v>123</v>
      </c>
      <c r="E17" s="22" t="s">
        <v>136</v>
      </c>
      <c r="F17" s="22" t="s">
        <v>35</v>
      </c>
      <c r="G17" s="22" t="s">
        <v>125</v>
      </c>
      <c r="H17" s="62" t="s">
        <v>153</v>
      </c>
      <c r="I17" s="22" t="s">
        <v>126</v>
      </c>
      <c r="J17" s="22" t="s">
        <v>127</v>
      </c>
      <c r="K17" s="22" t="s">
        <v>35</v>
      </c>
      <c r="L17" s="22" t="s">
        <v>130</v>
      </c>
      <c r="M17" s="22" t="s">
        <v>154</v>
      </c>
      <c r="N17" s="22" t="s">
        <v>131</v>
      </c>
      <c r="O17" s="22" t="s">
        <v>129</v>
      </c>
    </row>
    <row r="18" spans="1:15">
      <c r="A18" s="116" t="s">
        <v>1090</v>
      </c>
      <c r="B18" s="22" t="s">
        <v>155</v>
      </c>
      <c r="C18" s="22" t="s">
        <v>122</v>
      </c>
      <c r="D18" s="22" t="s">
        <v>123</v>
      </c>
      <c r="E18" s="22" t="s">
        <v>124</v>
      </c>
      <c r="F18" s="22" t="s">
        <v>35</v>
      </c>
      <c r="G18" s="22" t="s">
        <v>125</v>
      </c>
      <c r="H18" s="62">
        <v>400</v>
      </c>
      <c r="I18" s="22" t="s">
        <v>126</v>
      </c>
      <c r="J18" s="22" t="s">
        <v>127</v>
      </c>
      <c r="K18" s="22" t="s">
        <v>35</v>
      </c>
      <c r="L18" s="22" t="s">
        <v>130</v>
      </c>
      <c r="M18" s="22" t="s">
        <v>156</v>
      </c>
      <c r="N18" s="22" t="s">
        <v>131</v>
      </c>
      <c r="O18" s="22" t="s">
        <v>129</v>
      </c>
    </row>
    <row r="19" spans="1:15">
      <c r="A19" s="116" t="s">
        <v>1090</v>
      </c>
      <c r="B19" s="22" t="s">
        <v>155</v>
      </c>
      <c r="C19" s="22" t="s">
        <v>122</v>
      </c>
      <c r="D19" s="22" t="s">
        <v>123</v>
      </c>
      <c r="E19" s="22" t="s">
        <v>118</v>
      </c>
      <c r="F19" s="22" t="s">
        <v>35</v>
      </c>
      <c r="G19" s="22" t="s">
        <v>125</v>
      </c>
      <c r="H19" s="62">
        <v>791</v>
      </c>
      <c r="I19" s="22" t="s">
        <v>126</v>
      </c>
      <c r="J19" s="22" t="s">
        <v>127</v>
      </c>
      <c r="K19" s="22" t="s">
        <v>35</v>
      </c>
      <c r="L19" s="22" t="s">
        <v>130</v>
      </c>
      <c r="M19" s="22" t="s">
        <v>157</v>
      </c>
      <c r="N19" s="22" t="s">
        <v>131</v>
      </c>
      <c r="O19" s="22" t="s">
        <v>129</v>
      </c>
    </row>
    <row r="20" spans="1:15">
      <c r="A20" s="116" t="s">
        <v>1090</v>
      </c>
      <c r="B20" s="22" t="s">
        <v>155</v>
      </c>
      <c r="C20" s="22" t="s">
        <v>122</v>
      </c>
      <c r="D20" s="22" t="s">
        <v>123</v>
      </c>
      <c r="E20" s="22" t="s">
        <v>133</v>
      </c>
      <c r="F20" s="22" t="s">
        <v>35</v>
      </c>
      <c r="G20" s="22" t="s">
        <v>125</v>
      </c>
      <c r="H20" s="62" t="s">
        <v>158</v>
      </c>
      <c r="I20" s="22" t="s">
        <v>126</v>
      </c>
      <c r="J20" s="22" t="s">
        <v>127</v>
      </c>
      <c r="K20" s="22" t="s">
        <v>35</v>
      </c>
      <c r="L20" s="22" t="s">
        <v>130</v>
      </c>
      <c r="M20" s="22" t="s">
        <v>159</v>
      </c>
      <c r="N20" s="22" t="s">
        <v>131</v>
      </c>
      <c r="O20" s="22" t="s">
        <v>129</v>
      </c>
    </row>
    <row r="21" spans="1:15">
      <c r="A21" s="116" t="s">
        <v>1090</v>
      </c>
      <c r="B21" s="22" t="s">
        <v>155</v>
      </c>
      <c r="C21" s="22" t="s">
        <v>122</v>
      </c>
      <c r="D21" s="22" t="s">
        <v>123</v>
      </c>
      <c r="E21" s="22" t="s">
        <v>136</v>
      </c>
      <c r="F21" s="22" t="s">
        <v>35</v>
      </c>
      <c r="G21" s="22" t="s">
        <v>125</v>
      </c>
      <c r="H21" s="62" t="s">
        <v>153</v>
      </c>
      <c r="I21" s="22" t="s">
        <v>126</v>
      </c>
      <c r="J21" s="22" t="s">
        <v>127</v>
      </c>
      <c r="K21" s="22" t="s">
        <v>35</v>
      </c>
      <c r="L21" s="22" t="s">
        <v>130</v>
      </c>
      <c r="M21" s="22" t="s">
        <v>154</v>
      </c>
      <c r="N21" s="22" t="s">
        <v>131</v>
      </c>
      <c r="O21" s="22" t="s">
        <v>129</v>
      </c>
    </row>
    <row r="22" spans="1:15">
      <c r="A22" s="116" t="s">
        <v>1090</v>
      </c>
      <c r="B22" s="22" t="s">
        <v>160</v>
      </c>
      <c r="C22" s="22" t="s">
        <v>122</v>
      </c>
      <c r="D22" s="22" t="s">
        <v>123</v>
      </c>
      <c r="E22" s="22" t="s">
        <v>124</v>
      </c>
      <c r="F22" s="22" t="s">
        <v>35</v>
      </c>
      <c r="G22" s="22" t="s">
        <v>125</v>
      </c>
      <c r="H22" s="62">
        <v>29</v>
      </c>
      <c r="I22" s="22" t="s">
        <v>126</v>
      </c>
      <c r="J22" s="22" t="s">
        <v>127</v>
      </c>
      <c r="K22" s="22" t="s">
        <v>35</v>
      </c>
      <c r="L22" s="22" t="s">
        <v>130</v>
      </c>
      <c r="M22" s="22" t="s">
        <v>161</v>
      </c>
      <c r="N22" s="22" t="s">
        <v>131</v>
      </c>
      <c r="O22" s="22" t="s">
        <v>129</v>
      </c>
    </row>
    <row r="23" spans="1:15">
      <c r="A23" s="116" t="s">
        <v>1090</v>
      </c>
      <c r="B23" s="22" t="s">
        <v>160</v>
      </c>
      <c r="C23" s="22" t="s">
        <v>122</v>
      </c>
      <c r="D23" s="22" t="s">
        <v>123</v>
      </c>
      <c r="E23" s="22" t="s">
        <v>118</v>
      </c>
      <c r="F23" s="22" t="s">
        <v>35</v>
      </c>
      <c r="G23" s="22" t="s">
        <v>125</v>
      </c>
      <c r="H23" s="62">
        <v>0</v>
      </c>
      <c r="I23" s="22" t="s">
        <v>126</v>
      </c>
      <c r="J23" s="22" t="s">
        <v>127</v>
      </c>
      <c r="K23" s="22" t="s">
        <v>35</v>
      </c>
      <c r="L23" s="22" t="s">
        <v>130</v>
      </c>
      <c r="N23" s="22" t="s">
        <v>131</v>
      </c>
      <c r="O23" s="22" t="s">
        <v>129</v>
      </c>
    </row>
    <row r="24" spans="1:15">
      <c r="A24" s="116" t="s">
        <v>1090</v>
      </c>
      <c r="B24" s="22" t="s">
        <v>160</v>
      </c>
      <c r="C24" s="22" t="s">
        <v>122</v>
      </c>
      <c r="D24" s="22" t="s">
        <v>123</v>
      </c>
      <c r="E24" s="22" t="s">
        <v>133</v>
      </c>
      <c r="F24" s="22" t="s">
        <v>35</v>
      </c>
      <c r="G24" s="22" t="s">
        <v>125</v>
      </c>
      <c r="H24" s="62" t="s">
        <v>140</v>
      </c>
      <c r="I24" s="22" t="s">
        <v>126</v>
      </c>
      <c r="J24" s="22" t="s">
        <v>127</v>
      </c>
      <c r="K24" s="22" t="s">
        <v>35</v>
      </c>
      <c r="L24" s="22" t="s">
        <v>130</v>
      </c>
      <c r="M24" s="22" t="s">
        <v>162</v>
      </c>
      <c r="N24" s="22" t="s">
        <v>131</v>
      </c>
      <c r="O24" s="22" t="s">
        <v>129</v>
      </c>
    </row>
    <row r="25" spans="1:15">
      <c r="A25" s="116" t="s">
        <v>1090</v>
      </c>
      <c r="B25" s="22" t="s">
        <v>160</v>
      </c>
      <c r="C25" s="22" t="s">
        <v>122</v>
      </c>
      <c r="D25" s="22" t="s">
        <v>123</v>
      </c>
      <c r="E25" s="22" t="s">
        <v>136</v>
      </c>
      <c r="F25" s="22" t="s">
        <v>35</v>
      </c>
      <c r="G25" s="22" t="s">
        <v>125</v>
      </c>
      <c r="H25" s="62" t="s">
        <v>163</v>
      </c>
      <c r="I25" s="22" t="s">
        <v>126</v>
      </c>
      <c r="J25" s="22" t="s">
        <v>127</v>
      </c>
      <c r="K25" s="22" t="s">
        <v>35</v>
      </c>
      <c r="L25" s="22" t="s">
        <v>130</v>
      </c>
      <c r="M25" s="22" t="s">
        <v>164</v>
      </c>
      <c r="N25" s="22" t="s">
        <v>131</v>
      </c>
      <c r="O25" s="22" t="s">
        <v>129</v>
      </c>
    </row>
    <row r="26" spans="1:15">
      <c r="A26" s="116" t="s">
        <v>1090</v>
      </c>
      <c r="B26" s="22" t="s">
        <v>165</v>
      </c>
      <c r="C26" s="22" t="s">
        <v>122</v>
      </c>
      <c r="D26" s="22" t="s">
        <v>123</v>
      </c>
      <c r="E26" s="22" t="s">
        <v>124</v>
      </c>
      <c r="F26" s="22" t="s">
        <v>35</v>
      </c>
      <c r="G26" s="22" t="s">
        <v>125</v>
      </c>
      <c r="H26" s="62">
        <v>111</v>
      </c>
      <c r="I26" s="22" t="s">
        <v>126</v>
      </c>
      <c r="J26" s="22" t="s">
        <v>127</v>
      </c>
      <c r="K26" s="22" t="s">
        <v>35</v>
      </c>
      <c r="L26" s="22" t="s">
        <v>130</v>
      </c>
      <c r="M26" s="22" t="s">
        <v>166</v>
      </c>
      <c r="N26" s="22" t="s">
        <v>131</v>
      </c>
      <c r="O26" s="22" t="s">
        <v>129</v>
      </c>
    </row>
    <row r="27" spans="1:15">
      <c r="A27" s="116" t="s">
        <v>1090</v>
      </c>
      <c r="B27" s="22" t="s">
        <v>165</v>
      </c>
      <c r="C27" s="22" t="s">
        <v>122</v>
      </c>
      <c r="D27" s="22" t="s">
        <v>123</v>
      </c>
      <c r="E27" s="22" t="s">
        <v>118</v>
      </c>
      <c r="F27" s="22" t="s">
        <v>35</v>
      </c>
      <c r="G27" s="22" t="s">
        <v>125</v>
      </c>
      <c r="H27" s="62">
        <v>383</v>
      </c>
      <c r="I27" s="22" t="s">
        <v>126</v>
      </c>
      <c r="J27" s="22" t="s">
        <v>127</v>
      </c>
      <c r="K27" s="22" t="s">
        <v>35</v>
      </c>
      <c r="L27" s="22" t="s">
        <v>130</v>
      </c>
      <c r="M27" s="22" t="s">
        <v>159</v>
      </c>
      <c r="N27" s="22" t="s">
        <v>131</v>
      </c>
      <c r="O27" s="22" t="s">
        <v>129</v>
      </c>
    </row>
    <row r="28" spans="1:15">
      <c r="A28" s="116" t="s">
        <v>1090</v>
      </c>
      <c r="B28" s="22" t="s">
        <v>165</v>
      </c>
      <c r="C28" s="22" t="s">
        <v>122</v>
      </c>
      <c r="D28" s="22" t="s">
        <v>123</v>
      </c>
      <c r="E28" s="22" t="s">
        <v>133</v>
      </c>
      <c r="F28" s="22" t="s">
        <v>35</v>
      </c>
      <c r="G28" s="22" t="s">
        <v>125</v>
      </c>
      <c r="H28" s="62" t="s">
        <v>140</v>
      </c>
      <c r="I28" s="22" t="s">
        <v>126</v>
      </c>
      <c r="J28" s="22" t="s">
        <v>127</v>
      </c>
      <c r="K28" s="22" t="s">
        <v>35</v>
      </c>
      <c r="L28" s="22" t="s">
        <v>130</v>
      </c>
      <c r="M28" s="22" t="s">
        <v>162</v>
      </c>
      <c r="N28" s="22" t="s">
        <v>131</v>
      </c>
      <c r="O28" s="22" t="s">
        <v>129</v>
      </c>
    </row>
    <row r="29" spans="1:15">
      <c r="A29" s="116" t="s">
        <v>1090</v>
      </c>
      <c r="B29" s="22" t="s">
        <v>165</v>
      </c>
      <c r="C29" s="22" t="s">
        <v>122</v>
      </c>
      <c r="D29" s="22" t="s">
        <v>123</v>
      </c>
      <c r="E29" s="22" t="s">
        <v>136</v>
      </c>
      <c r="F29" s="22" t="s">
        <v>35</v>
      </c>
      <c r="G29" s="22" t="s">
        <v>125</v>
      </c>
      <c r="H29" s="62" t="s">
        <v>163</v>
      </c>
      <c r="I29" s="22" t="s">
        <v>126</v>
      </c>
      <c r="J29" s="22" t="s">
        <v>127</v>
      </c>
      <c r="K29" s="22" t="s">
        <v>35</v>
      </c>
      <c r="L29" s="22" t="s">
        <v>130</v>
      </c>
      <c r="M29" s="22" t="s">
        <v>164</v>
      </c>
      <c r="N29" s="22" t="s">
        <v>131</v>
      </c>
      <c r="O29" s="22" t="s">
        <v>129</v>
      </c>
    </row>
    <row r="30" spans="1:15">
      <c r="A30" s="116" t="s">
        <v>1090</v>
      </c>
      <c r="B30" s="22" t="s">
        <v>167</v>
      </c>
      <c r="C30" s="22" t="s">
        <v>122</v>
      </c>
      <c r="D30" s="22" t="s">
        <v>123</v>
      </c>
      <c r="E30" s="22" t="s">
        <v>124</v>
      </c>
      <c r="F30" s="22" t="s">
        <v>35</v>
      </c>
      <c r="G30" s="22" t="s">
        <v>125</v>
      </c>
      <c r="H30" s="62">
        <v>510</v>
      </c>
      <c r="I30" s="22" t="s">
        <v>126</v>
      </c>
      <c r="J30" s="22" t="s">
        <v>127</v>
      </c>
      <c r="K30" s="22" t="s">
        <v>35</v>
      </c>
      <c r="L30" s="22" t="s">
        <v>130</v>
      </c>
      <c r="M30" s="22" t="s">
        <v>168</v>
      </c>
      <c r="N30" s="22" t="s">
        <v>131</v>
      </c>
      <c r="O30" s="22" t="s">
        <v>129</v>
      </c>
    </row>
    <row r="31" spans="1:15">
      <c r="A31" s="116" t="s">
        <v>1090</v>
      </c>
      <c r="B31" s="22" t="s">
        <v>167</v>
      </c>
      <c r="C31" s="22" t="s">
        <v>122</v>
      </c>
      <c r="D31" s="22" t="s">
        <v>123</v>
      </c>
      <c r="E31" s="22" t="s">
        <v>118</v>
      </c>
      <c r="F31" s="22" t="s">
        <v>35</v>
      </c>
      <c r="G31" s="22" t="s">
        <v>125</v>
      </c>
      <c r="H31" s="62">
        <v>465</v>
      </c>
      <c r="I31" s="22" t="s">
        <v>126</v>
      </c>
      <c r="J31" s="22" t="s">
        <v>127</v>
      </c>
      <c r="K31" s="22" t="s">
        <v>35</v>
      </c>
      <c r="L31" s="22" t="s">
        <v>130</v>
      </c>
      <c r="M31" s="22" t="s">
        <v>169</v>
      </c>
      <c r="N31" s="22" t="s">
        <v>131</v>
      </c>
      <c r="O31" s="22" t="s">
        <v>129</v>
      </c>
    </row>
    <row r="32" spans="1:15">
      <c r="A32" s="116" t="s">
        <v>1090</v>
      </c>
      <c r="B32" s="22" t="s">
        <v>167</v>
      </c>
      <c r="C32" s="22" t="s">
        <v>122</v>
      </c>
      <c r="D32" s="22" t="s">
        <v>123</v>
      </c>
      <c r="E32" s="22" t="s">
        <v>133</v>
      </c>
      <c r="F32" s="22" t="s">
        <v>35</v>
      </c>
      <c r="G32" s="22" t="s">
        <v>125</v>
      </c>
      <c r="H32" s="62" t="s">
        <v>170</v>
      </c>
      <c r="I32" s="22" t="s">
        <v>126</v>
      </c>
      <c r="J32" s="22" t="s">
        <v>127</v>
      </c>
      <c r="K32" s="22" t="s">
        <v>35</v>
      </c>
      <c r="L32" s="22" t="s">
        <v>130</v>
      </c>
      <c r="M32" s="22" t="s">
        <v>159</v>
      </c>
      <c r="N32" s="22" t="s">
        <v>131</v>
      </c>
      <c r="O32" s="22" t="s">
        <v>129</v>
      </c>
    </row>
    <row r="33" spans="1:15">
      <c r="A33" s="116" t="s">
        <v>1090</v>
      </c>
      <c r="B33" s="22" t="s">
        <v>167</v>
      </c>
      <c r="C33" s="22" t="s">
        <v>122</v>
      </c>
      <c r="D33" s="22" t="s">
        <v>123</v>
      </c>
      <c r="E33" s="22" t="s">
        <v>136</v>
      </c>
      <c r="F33" s="22" t="s">
        <v>35</v>
      </c>
      <c r="G33" s="22" t="s">
        <v>125</v>
      </c>
      <c r="H33" s="62" t="s">
        <v>171</v>
      </c>
      <c r="I33" s="22" t="s">
        <v>126</v>
      </c>
      <c r="J33" s="22" t="s">
        <v>127</v>
      </c>
      <c r="K33" s="22" t="s">
        <v>35</v>
      </c>
      <c r="L33" s="22" t="s">
        <v>130</v>
      </c>
      <c r="M33" s="22" t="s">
        <v>172</v>
      </c>
      <c r="N33" s="22" t="s">
        <v>131</v>
      </c>
      <c r="O33" s="22" t="s">
        <v>129</v>
      </c>
    </row>
    <row r="34" spans="1:15">
      <c r="A34" s="116" t="s">
        <v>1090</v>
      </c>
      <c r="B34" s="22" t="s">
        <v>173</v>
      </c>
      <c r="C34" s="22" t="s">
        <v>122</v>
      </c>
      <c r="D34" s="22" t="s">
        <v>123</v>
      </c>
      <c r="E34" s="22" t="s">
        <v>124</v>
      </c>
      <c r="F34" s="22" t="s">
        <v>35</v>
      </c>
      <c r="G34" s="22" t="s">
        <v>125</v>
      </c>
      <c r="H34" s="62">
        <v>198</v>
      </c>
      <c r="I34" s="22" t="s">
        <v>126</v>
      </c>
      <c r="J34" s="22" t="s">
        <v>127</v>
      </c>
      <c r="K34" s="22" t="s">
        <v>35</v>
      </c>
      <c r="L34" s="22" t="s">
        <v>130</v>
      </c>
      <c r="M34" s="22" t="s">
        <v>174</v>
      </c>
      <c r="N34" s="22" t="s">
        <v>131</v>
      </c>
      <c r="O34" s="22" t="s">
        <v>129</v>
      </c>
    </row>
    <row r="35" spans="1:15">
      <c r="A35" s="116" t="s">
        <v>1090</v>
      </c>
      <c r="B35" s="22" t="s">
        <v>173</v>
      </c>
      <c r="C35" s="22" t="s">
        <v>122</v>
      </c>
      <c r="D35" s="22" t="s">
        <v>123</v>
      </c>
      <c r="E35" s="22" t="s">
        <v>118</v>
      </c>
      <c r="F35" s="22" t="s">
        <v>35</v>
      </c>
      <c r="G35" s="22" t="s">
        <v>125</v>
      </c>
      <c r="H35" s="62">
        <v>540</v>
      </c>
      <c r="I35" s="22" t="s">
        <v>126</v>
      </c>
      <c r="J35" s="22" t="s">
        <v>127</v>
      </c>
      <c r="K35" s="22" t="s">
        <v>35</v>
      </c>
      <c r="L35" s="22" t="s">
        <v>130</v>
      </c>
      <c r="M35" s="22" t="s">
        <v>175</v>
      </c>
      <c r="N35" s="22" t="s">
        <v>131</v>
      </c>
      <c r="O35" s="22" t="s">
        <v>129</v>
      </c>
    </row>
    <row r="36" spans="1:15">
      <c r="A36" s="116" t="s">
        <v>1090</v>
      </c>
      <c r="B36" s="22" t="s">
        <v>173</v>
      </c>
      <c r="C36" s="22" t="s">
        <v>122</v>
      </c>
      <c r="D36" s="22" t="s">
        <v>123</v>
      </c>
      <c r="E36" s="22" t="s">
        <v>133</v>
      </c>
      <c r="F36" s="22" t="s">
        <v>35</v>
      </c>
      <c r="G36" s="22" t="s">
        <v>125</v>
      </c>
      <c r="H36" s="62" t="s">
        <v>176</v>
      </c>
      <c r="I36" s="22" t="s">
        <v>126</v>
      </c>
      <c r="J36" s="22" t="s">
        <v>127</v>
      </c>
      <c r="K36" s="22" t="s">
        <v>35</v>
      </c>
      <c r="L36" s="22" t="s">
        <v>130</v>
      </c>
      <c r="N36" s="22" t="s">
        <v>131</v>
      </c>
      <c r="O36" s="22" t="s">
        <v>129</v>
      </c>
    </row>
    <row r="37" spans="1:15">
      <c r="A37" s="116" t="s">
        <v>1090</v>
      </c>
      <c r="B37" s="22" t="s">
        <v>173</v>
      </c>
      <c r="C37" s="22" t="s">
        <v>122</v>
      </c>
      <c r="D37" s="22" t="s">
        <v>123</v>
      </c>
      <c r="E37" s="22" t="s">
        <v>136</v>
      </c>
      <c r="F37" s="22" t="s">
        <v>35</v>
      </c>
      <c r="G37" s="22" t="s">
        <v>125</v>
      </c>
      <c r="H37" s="62" t="s">
        <v>177</v>
      </c>
      <c r="I37" s="22" t="s">
        <v>126</v>
      </c>
      <c r="J37" s="22" t="s">
        <v>127</v>
      </c>
      <c r="K37" s="22" t="s">
        <v>35</v>
      </c>
      <c r="L37" s="22" t="s">
        <v>130</v>
      </c>
      <c r="M37" s="22" t="s">
        <v>178</v>
      </c>
      <c r="N37" s="22" t="s">
        <v>131</v>
      </c>
      <c r="O37" s="22" t="s">
        <v>129</v>
      </c>
    </row>
    <row r="38" spans="1:15">
      <c r="A38" s="116" t="s">
        <v>1090</v>
      </c>
      <c r="B38" s="22" t="s">
        <v>179</v>
      </c>
      <c r="C38" s="22" t="s">
        <v>122</v>
      </c>
      <c r="D38" s="22" t="s">
        <v>123</v>
      </c>
      <c r="E38" s="22" t="s">
        <v>124</v>
      </c>
      <c r="F38" s="22" t="s">
        <v>35</v>
      </c>
      <c r="G38" s="22" t="s">
        <v>125</v>
      </c>
      <c r="H38" s="62">
        <v>65</v>
      </c>
      <c r="I38" s="22" t="s">
        <v>126</v>
      </c>
      <c r="J38" s="22" t="s">
        <v>127</v>
      </c>
      <c r="K38" s="22" t="s">
        <v>35</v>
      </c>
      <c r="L38" s="22" t="s">
        <v>130</v>
      </c>
      <c r="M38" s="22" t="s">
        <v>180</v>
      </c>
      <c r="N38" s="22" t="s">
        <v>131</v>
      </c>
      <c r="O38" s="22" t="s">
        <v>129</v>
      </c>
    </row>
    <row r="39" spans="1:15">
      <c r="A39" s="116" t="s">
        <v>1090</v>
      </c>
      <c r="B39" s="22" t="s">
        <v>179</v>
      </c>
      <c r="C39" s="22" t="s">
        <v>122</v>
      </c>
      <c r="D39" s="22" t="s">
        <v>123</v>
      </c>
      <c r="E39" s="22" t="s">
        <v>118</v>
      </c>
      <c r="F39" s="22" t="s">
        <v>35</v>
      </c>
      <c r="G39" s="22" t="s">
        <v>125</v>
      </c>
      <c r="H39" s="62">
        <v>275</v>
      </c>
      <c r="I39" s="22" t="s">
        <v>126</v>
      </c>
      <c r="J39" s="22" t="s">
        <v>127</v>
      </c>
      <c r="K39" s="22" t="s">
        <v>35</v>
      </c>
      <c r="L39" s="22" t="s">
        <v>130</v>
      </c>
      <c r="M39" s="22" t="s">
        <v>152</v>
      </c>
      <c r="N39" s="22" t="s">
        <v>131</v>
      </c>
      <c r="O39" s="22" t="s">
        <v>129</v>
      </c>
    </row>
    <row r="40" spans="1:15">
      <c r="A40" s="116" t="s">
        <v>1090</v>
      </c>
      <c r="B40" s="22" t="s">
        <v>179</v>
      </c>
      <c r="C40" s="22" t="s">
        <v>122</v>
      </c>
      <c r="D40" s="22" t="s">
        <v>123</v>
      </c>
      <c r="E40" s="22" t="s">
        <v>133</v>
      </c>
      <c r="F40" s="22" t="s">
        <v>35</v>
      </c>
      <c r="G40" s="22" t="s">
        <v>125</v>
      </c>
      <c r="H40" s="62">
        <v>2</v>
      </c>
      <c r="I40" s="22" t="s">
        <v>126</v>
      </c>
      <c r="J40" s="22" t="s">
        <v>127</v>
      </c>
      <c r="K40" s="22" t="s">
        <v>35</v>
      </c>
      <c r="L40" s="22" t="s">
        <v>130</v>
      </c>
      <c r="M40" s="22" t="s">
        <v>181</v>
      </c>
      <c r="N40" s="22" t="s">
        <v>131</v>
      </c>
      <c r="O40" s="22" t="s">
        <v>129</v>
      </c>
    </row>
    <row r="41" spans="1:15">
      <c r="A41" s="116" t="s">
        <v>1090</v>
      </c>
      <c r="B41" s="22" t="s">
        <v>179</v>
      </c>
      <c r="C41" s="22" t="s">
        <v>122</v>
      </c>
      <c r="D41" s="22" t="s">
        <v>123</v>
      </c>
      <c r="E41" s="22" t="s">
        <v>136</v>
      </c>
      <c r="F41" s="22" t="s">
        <v>35</v>
      </c>
      <c r="G41" s="22" t="s">
        <v>125</v>
      </c>
      <c r="H41" s="62" t="s">
        <v>182</v>
      </c>
      <c r="I41" s="22" t="s">
        <v>126</v>
      </c>
      <c r="J41" s="22" t="s">
        <v>127</v>
      </c>
      <c r="K41" s="22" t="s">
        <v>35</v>
      </c>
      <c r="L41" s="22" t="s">
        <v>130</v>
      </c>
      <c r="M41" s="22" t="s">
        <v>183</v>
      </c>
      <c r="N41" s="22" t="s">
        <v>131</v>
      </c>
      <c r="O41" s="22" t="s">
        <v>129</v>
      </c>
    </row>
    <row r="42" spans="1:15">
      <c r="A42" s="116" t="s">
        <v>1090</v>
      </c>
      <c r="B42" s="22" t="s">
        <v>184</v>
      </c>
      <c r="C42" s="22" t="s">
        <v>122</v>
      </c>
      <c r="D42" s="22" t="s">
        <v>123</v>
      </c>
      <c r="E42" s="22" t="s">
        <v>124</v>
      </c>
      <c r="F42" s="22" t="s">
        <v>35</v>
      </c>
      <c r="G42" s="22" t="s">
        <v>125</v>
      </c>
      <c r="H42" s="62">
        <v>30</v>
      </c>
      <c r="I42" s="22" t="s">
        <v>126</v>
      </c>
      <c r="J42" s="22" t="s">
        <v>127</v>
      </c>
      <c r="K42" s="22" t="s">
        <v>35</v>
      </c>
      <c r="L42" s="22" t="s">
        <v>130</v>
      </c>
      <c r="M42" s="22" t="s">
        <v>168</v>
      </c>
      <c r="N42" s="22" t="s">
        <v>131</v>
      </c>
      <c r="O42" s="22" t="s">
        <v>129</v>
      </c>
    </row>
    <row r="43" spans="1:15">
      <c r="A43" s="116" t="s">
        <v>1090</v>
      </c>
      <c r="B43" s="22" t="s">
        <v>184</v>
      </c>
      <c r="C43" s="22" t="s">
        <v>122</v>
      </c>
      <c r="D43" s="22" t="s">
        <v>123</v>
      </c>
      <c r="E43" s="22" t="s">
        <v>118</v>
      </c>
      <c r="F43" s="22" t="s">
        <v>35</v>
      </c>
      <c r="G43" s="22" t="s">
        <v>125</v>
      </c>
      <c r="H43" s="62">
        <v>60</v>
      </c>
      <c r="I43" s="22" t="s">
        <v>126</v>
      </c>
      <c r="J43" s="22" t="s">
        <v>127</v>
      </c>
      <c r="K43" s="22" t="s">
        <v>35</v>
      </c>
      <c r="L43" s="22" t="s">
        <v>130</v>
      </c>
      <c r="M43" s="22" t="s">
        <v>185</v>
      </c>
      <c r="N43" s="22" t="s">
        <v>131</v>
      </c>
      <c r="O43" s="22" t="s">
        <v>129</v>
      </c>
    </row>
    <row r="44" spans="1:15">
      <c r="A44" s="116" t="s">
        <v>1090</v>
      </c>
      <c r="B44" s="22" t="s">
        <v>184</v>
      </c>
      <c r="C44" s="22" t="s">
        <v>122</v>
      </c>
      <c r="D44" s="22" t="s">
        <v>123</v>
      </c>
      <c r="E44" s="22" t="s">
        <v>133</v>
      </c>
      <c r="F44" s="22" t="s">
        <v>35</v>
      </c>
      <c r="G44" s="22" t="s">
        <v>125</v>
      </c>
      <c r="H44" s="62" t="s">
        <v>186</v>
      </c>
      <c r="I44" s="22" t="s">
        <v>126</v>
      </c>
      <c r="J44" s="22" t="s">
        <v>127</v>
      </c>
      <c r="K44" s="22" t="s">
        <v>35</v>
      </c>
      <c r="L44" s="22" t="s">
        <v>130</v>
      </c>
      <c r="M44" s="22" t="s">
        <v>187</v>
      </c>
      <c r="N44" s="22" t="s">
        <v>131</v>
      </c>
      <c r="O44" s="22" t="s">
        <v>129</v>
      </c>
    </row>
    <row r="45" spans="1:15">
      <c r="A45" s="116" t="s">
        <v>1090</v>
      </c>
      <c r="B45" s="22" t="s">
        <v>184</v>
      </c>
      <c r="C45" s="22" t="s">
        <v>122</v>
      </c>
      <c r="D45" s="22" t="s">
        <v>123</v>
      </c>
      <c r="E45" s="22" t="s">
        <v>136</v>
      </c>
      <c r="F45" s="22" t="s">
        <v>35</v>
      </c>
      <c r="G45" s="22" t="s">
        <v>125</v>
      </c>
      <c r="H45" s="62" t="s">
        <v>188</v>
      </c>
      <c r="I45" s="22" t="s">
        <v>126</v>
      </c>
      <c r="J45" s="22" t="s">
        <v>127</v>
      </c>
      <c r="K45" s="22" t="s">
        <v>35</v>
      </c>
      <c r="L45" s="22" t="s">
        <v>130</v>
      </c>
      <c r="M45" s="22" t="s">
        <v>189</v>
      </c>
      <c r="N45" s="22" t="s">
        <v>131</v>
      </c>
      <c r="O45" s="22" t="s">
        <v>129</v>
      </c>
    </row>
    <row r="46" spans="1:15">
      <c r="A46" s="116" t="s">
        <v>1090</v>
      </c>
      <c r="B46" s="22" t="s">
        <v>190</v>
      </c>
      <c r="C46" s="22" t="s">
        <v>122</v>
      </c>
      <c r="D46" s="22" t="s">
        <v>123</v>
      </c>
      <c r="E46" s="22" t="s">
        <v>124</v>
      </c>
      <c r="F46" s="22" t="s">
        <v>35</v>
      </c>
      <c r="G46" s="22" t="s">
        <v>125</v>
      </c>
      <c r="H46" s="62">
        <v>33</v>
      </c>
      <c r="I46" s="22" t="s">
        <v>126</v>
      </c>
      <c r="J46" s="22" t="s">
        <v>127</v>
      </c>
      <c r="K46" s="22" t="s">
        <v>35</v>
      </c>
      <c r="L46" s="22" t="s">
        <v>130</v>
      </c>
      <c r="M46" s="22" t="s">
        <v>191</v>
      </c>
      <c r="N46" s="22" t="s">
        <v>131</v>
      </c>
      <c r="O46" s="22" t="s">
        <v>129</v>
      </c>
    </row>
    <row r="47" spans="1:15">
      <c r="A47" s="116" t="s">
        <v>1090</v>
      </c>
      <c r="B47" s="22" t="s">
        <v>190</v>
      </c>
      <c r="C47" s="22" t="s">
        <v>122</v>
      </c>
      <c r="D47" s="22" t="s">
        <v>123</v>
      </c>
      <c r="E47" s="22" t="s">
        <v>118</v>
      </c>
      <c r="F47" s="22" t="s">
        <v>35</v>
      </c>
      <c r="G47" s="22" t="s">
        <v>125</v>
      </c>
      <c r="H47" s="62">
        <v>63</v>
      </c>
      <c r="I47" s="22" t="s">
        <v>126</v>
      </c>
      <c r="J47" s="22" t="s">
        <v>127</v>
      </c>
      <c r="K47" s="22" t="s">
        <v>35</v>
      </c>
      <c r="L47" s="22" t="s">
        <v>130</v>
      </c>
      <c r="M47" s="22" t="s">
        <v>192</v>
      </c>
      <c r="N47" s="22" t="s">
        <v>131</v>
      </c>
      <c r="O47" s="22" t="s">
        <v>129</v>
      </c>
    </row>
    <row r="48" spans="1:15">
      <c r="A48" s="116" t="s">
        <v>1090</v>
      </c>
      <c r="B48" s="22" t="s">
        <v>190</v>
      </c>
      <c r="C48" s="22" t="s">
        <v>122</v>
      </c>
      <c r="D48" s="22" t="s">
        <v>123</v>
      </c>
      <c r="E48" s="22" t="s">
        <v>133</v>
      </c>
      <c r="F48" s="22" t="s">
        <v>35</v>
      </c>
      <c r="G48" s="22" t="s">
        <v>125</v>
      </c>
      <c r="H48" s="62" t="s">
        <v>188</v>
      </c>
      <c r="I48" s="22" t="s">
        <v>126</v>
      </c>
      <c r="J48" s="22" t="s">
        <v>127</v>
      </c>
      <c r="K48" s="22" t="s">
        <v>35</v>
      </c>
      <c r="L48" s="22" t="s">
        <v>130</v>
      </c>
      <c r="M48" s="22" t="s">
        <v>193</v>
      </c>
      <c r="N48" s="22" t="s">
        <v>131</v>
      </c>
      <c r="O48" s="22" t="s">
        <v>129</v>
      </c>
    </row>
    <row r="49" spans="1:15">
      <c r="A49" s="116" t="s">
        <v>1090</v>
      </c>
      <c r="B49" s="22" t="s">
        <v>190</v>
      </c>
      <c r="C49" s="22" t="s">
        <v>122</v>
      </c>
      <c r="D49" s="22" t="s">
        <v>123</v>
      </c>
      <c r="E49" s="22" t="s">
        <v>136</v>
      </c>
      <c r="F49" s="22" t="s">
        <v>35</v>
      </c>
      <c r="G49" s="22" t="s">
        <v>125</v>
      </c>
      <c r="H49" s="62">
        <v>1</v>
      </c>
      <c r="I49" s="22" t="s">
        <v>126</v>
      </c>
      <c r="J49" s="22" t="s">
        <v>127</v>
      </c>
      <c r="K49" s="22" t="s">
        <v>35</v>
      </c>
      <c r="L49" s="22" t="s">
        <v>130</v>
      </c>
      <c r="M49" s="22" t="s">
        <v>194</v>
      </c>
      <c r="N49" s="22" t="s">
        <v>131</v>
      </c>
      <c r="O49" s="22" t="s">
        <v>129</v>
      </c>
    </row>
    <row r="50" spans="1:15">
      <c r="A50" s="116" t="s">
        <v>1090</v>
      </c>
      <c r="B50" s="22" t="s">
        <v>195</v>
      </c>
      <c r="C50" s="22" t="s">
        <v>122</v>
      </c>
      <c r="D50" s="22" t="s">
        <v>123</v>
      </c>
      <c r="E50" s="22" t="s">
        <v>124</v>
      </c>
      <c r="F50" s="22" t="s">
        <v>35</v>
      </c>
      <c r="G50" s="22" t="s">
        <v>125</v>
      </c>
      <c r="H50" s="62">
        <v>90</v>
      </c>
      <c r="I50" s="22" t="s">
        <v>126</v>
      </c>
      <c r="J50" s="22" t="s">
        <v>127</v>
      </c>
      <c r="K50" s="22" t="s">
        <v>35</v>
      </c>
      <c r="L50" s="22" t="s">
        <v>130</v>
      </c>
      <c r="M50" s="22" t="s">
        <v>196</v>
      </c>
      <c r="N50" s="22" t="s">
        <v>131</v>
      </c>
      <c r="O50" s="22" t="s">
        <v>129</v>
      </c>
    </row>
    <row r="51" spans="1:15">
      <c r="A51" s="116" t="s">
        <v>1090</v>
      </c>
      <c r="B51" s="22" t="s">
        <v>195</v>
      </c>
      <c r="C51" s="22" t="s">
        <v>122</v>
      </c>
      <c r="D51" s="22" t="s">
        <v>123</v>
      </c>
      <c r="E51" s="22" t="s">
        <v>118</v>
      </c>
      <c r="F51" s="22" t="s">
        <v>35</v>
      </c>
      <c r="G51" s="22" t="s">
        <v>125</v>
      </c>
      <c r="H51" s="62">
        <v>650</v>
      </c>
      <c r="I51" s="22" t="s">
        <v>126</v>
      </c>
      <c r="J51" s="22" t="s">
        <v>127</v>
      </c>
      <c r="K51" s="22" t="s">
        <v>35</v>
      </c>
      <c r="L51" s="22" t="s">
        <v>130</v>
      </c>
      <c r="M51" s="22" t="s">
        <v>197</v>
      </c>
      <c r="N51" s="22" t="s">
        <v>131</v>
      </c>
      <c r="O51" s="22" t="s">
        <v>129</v>
      </c>
    </row>
    <row r="52" spans="1:15">
      <c r="A52" s="116" t="s">
        <v>1090</v>
      </c>
      <c r="B52" s="22" t="s">
        <v>195</v>
      </c>
      <c r="C52" s="22" t="s">
        <v>122</v>
      </c>
      <c r="D52" s="22" t="s">
        <v>123</v>
      </c>
      <c r="E52" s="22" t="s">
        <v>133</v>
      </c>
      <c r="F52" s="22" t="s">
        <v>35</v>
      </c>
      <c r="G52" s="22" t="s">
        <v>125</v>
      </c>
      <c r="H52" s="62" t="s">
        <v>198</v>
      </c>
      <c r="I52" s="22" t="s">
        <v>126</v>
      </c>
      <c r="J52" s="22" t="s">
        <v>127</v>
      </c>
      <c r="K52" s="22" t="s">
        <v>35</v>
      </c>
      <c r="L52" s="22" t="s">
        <v>130</v>
      </c>
      <c r="M52" s="22" t="s">
        <v>199</v>
      </c>
      <c r="N52" s="22" t="s">
        <v>131</v>
      </c>
      <c r="O52" s="22" t="s">
        <v>129</v>
      </c>
    </row>
    <row r="53" spans="1:15">
      <c r="A53" s="116" t="s">
        <v>1090</v>
      </c>
      <c r="B53" s="22" t="s">
        <v>195</v>
      </c>
      <c r="C53" s="22" t="s">
        <v>122</v>
      </c>
      <c r="D53" s="22" t="s">
        <v>123</v>
      </c>
      <c r="E53" s="22" t="s">
        <v>136</v>
      </c>
      <c r="F53" s="22" t="s">
        <v>35</v>
      </c>
      <c r="G53" s="22" t="s">
        <v>125</v>
      </c>
      <c r="H53" s="62" t="s">
        <v>137</v>
      </c>
      <c r="I53" s="22" t="s">
        <v>126</v>
      </c>
      <c r="J53" s="22" t="s">
        <v>127</v>
      </c>
      <c r="K53" s="22" t="s">
        <v>35</v>
      </c>
      <c r="L53" s="22" t="s">
        <v>130</v>
      </c>
      <c r="M53" s="22" t="s">
        <v>168</v>
      </c>
      <c r="N53" s="22" t="s">
        <v>131</v>
      </c>
      <c r="O53" s="22" t="s">
        <v>129</v>
      </c>
    </row>
    <row r="54" spans="1:15">
      <c r="A54" s="116" t="s">
        <v>1090</v>
      </c>
      <c r="B54" s="22" t="s">
        <v>200</v>
      </c>
      <c r="C54" s="22">
        <v>2012</v>
      </c>
      <c r="D54" s="22" t="s">
        <v>123</v>
      </c>
      <c r="E54" s="22" t="s">
        <v>118</v>
      </c>
      <c r="F54" s="22" t="s">
        <v>35</v>
      </c>
      <c r="G54" s="22" t="s">
        <v>201</v>
      </c>
      <c r="H54" s="66">
        <v>209137.5</v>
      </c>
      <c r="I54" s="22" t="s">
        <v>119</v>
      </c>
      <c r="J54" s="22" t="s">
        <v>202</v>
      </c>
      <c r="K54" s="22" t="s">
        <v>35</v>
      </c>
      <c r="L54" s="22" t="s">
        <v>204</v>
      </c>
      <c r="N54" s="22" t="s">
        <v>205</v>
      </c>
      <c r="O54" s="22" t="s">
        <v>203</v>
      </c>
    </row>
    <row r="55" spans="1:15">
      <c r="A55" s="116" t="s">
        <v>1090</v>
      </c>
      <c r="B55" s="22" t="s">
        <v>200</v>
      </c>
      <c r="C55" s="22">
        <v>2012</v>
      </c>
      <c r="D55" s="22" t="s">
        <v>123</v>
      </c>
      <c r="E55" s="22" t="s">
        <v>124</v>
      </c>
      <c r="F55" s="22" t="s">
        <v>35</v>
      </c>
      <c r="G55" s="22" t="s">
        <v>201</v>
      </c>
      <c r="H55">
        <v>52266</v>
      </c>
      <c r="I55" s="22" t="s">
        <v>119</v>
      </c>
      <c r="J55" s="22" t="s">
        <v>202</v>
      </c>
      <c r="K55" s="22" t="s">
        <v>35</v>
      </c>
      <c r="L55" s="22" t="s">
        <v>204</v>
      </c>
      <c r="N55" s="22" t="s">
        <v>205</v>
      </c>
      <c r="O55" s="22" t="s">
        <v>203</v>
      </c>
    </row>
    <row r="56" spans="1:15">
      <c r="A56" s="116" t="s">
        <v>1090</v>
      </c>
      <c r="B56" s="22" t="s">
        <v>200</v>
      </c>
      <c r="C56" s="22">
        <v>2012</v>
      </c>
      <c r="D56" s="22" t="s">
        <v>123</v>
      </c>
      <c r="E56" s="22" t="s">
        <v>206</v>
      </c>
      <c r="F56" s="22" t="s">
        <v>35</v>
      </c>
      <c r="G56" s="22" t="s">
        <v>201</v>
      </c>
      <c r="H56">
        <v>900</v>
      </c>
      <c r="I56" s="22" t="s">
        <v>119</v>
      </c>
      <c r="J56" s="22" t="s">
        <v>202</v>
      </c>
      <c r="K56" s="22" t="s">
        <v>35</v>
      </c>
      <c r="L56" s="22" t="s">
        <v>204</v>
      </c>
      <c r="N56" s="22" t="s">
        <v>205</v>
      </c>
      <c r="O56" s="22" t="s">
        <v>203</v>
      </c>
    </row>
    <row r="57" spans="1:15">
      <c r="A57" s="116" t="s">
        <v>1090</v>
      </c>
      <c r="B57" s="22" t="s">
        <v>200</v>
      </c>
      <c r="C57" s="22">
        <v>2012</v>
      </c>
      <c r="D57" s="22" t="s">
        <v>123</v>
      </c>
      <c r="E57" s="22" t="s">
        <v>207</v>
      </c>
      <c r="F57" s="22" t="s">
        <v>35</v>
      </c>
      <c r="G57" s="22" t="s">
        <v>201</v>
      </c>
      <c r="H57" s="66">
        <v>1096.5</v>
      </c>
      <c r="I57" s="22" t="s">
        <v>119</v>
      </c>
      <c r="J57" s="22" t="s">
        <v>202</v>
      </c>
      <c r="K57" s="22" t="s">
        <v>35</v>
      </c>
      <c r="L57" s="22" t="s">
        <v>204</v>
      </c>
      <c r="N57" s="22" t="s">
        <v>205</v>
      </c>
      <c r="O57" s="22" t="s">
        <v>203</v>
      </c>
    </row>
    <row r="58" spans="1:15">
      <c r="A58" s="116" t="s">
        <v>1090</v>
      </c>
      <c r="B58" s="22" t="s">
        <v>200</v>
      </c>
      <c r="C58" s="22">
        <v>2012</v>
      </c>
      <c r="D58" s="22" t="s">
        <v>123</v>
      </c>
      <c r="E58" s="22" t="s">
        <v>136</v>
      </c>
      <c r="F58" s="22" t="s">
        <v>35</v>
      </c>
      <c r="G58" s="22" t="s">
        <v>201</v>
      </c>
      <c r="H58">
        <v>12883</v>
      </c>
      <c r="I58" s="22" t="s">
        <v>119</v>
      </c>
      <c r="J58" s="22" t="s">
        <v>202</v>
      </c>
      <c r="K58" s="22" t="s">
        <v>35</v>
      </c>
      <c r="L58" s="22" t="s">
        <v>204</v>
      </c>
      <c r="N58" s="22" t="s">
        <v>205</v>
      </c>
      <c r="O58" s="22" t="s">
        <v>203</v>
      </c>
    </row>
    <row r="59" spans="1:15">
      <c r="A59" s="116" t="s">
        <v>1090</v>
      </c>
      <c r="B59" s="22" t="s">
        <v>208</v>
      </c>
      <c r="C59" s="22">
        <v>2012</v>
      </c>
      <c r="D59" s="22" t="s">
        <v>123</v>
      </c>
      <c r="E59" s="22" t="s">
        <v>133</v>
      </c>
      <c r="F59" s="22" t="s">
        <v>35</v>
      </c>
      <c r="G59" s="22" t="s">
        <v>201</v>
      </c>
      <c r="H59" s="67">
        <v>11650</v>
      </c>
      <c r="I59" s="22" t="s">
        <v>119</v>
      </c>
      <c r="J59" s="22" t="s">
        <v>202</v>
      </c>
      <c r="K59" s="22" t="s">
        <v>35</v>
      </c>
      <c r="L59" s="22" t="s">
        <v>209</v>
      </c>
      <c r="N59" s="22" t="s">
        <v>205</v>
      </c>
      <c r="O59" s="22" t="s">
        <v>203</v>
      </c>
    </row>
    <row r="60" spans="1:15">
      <c r="A60" s="116" t="s">
        <v>1090</v>
      </c>
      <c r="B60" s="22" t="s">
        <v>208</v>
      </c>
      <c r="C60" s="22">
        <v>2012</v>
      </c>
      <c r="D60" s="22" t="s">
        <v>123</v>
      </c>
      <c r="E60" s="22" t="s">
        <v>210</v>
      </c>
      <c r="F60" s="22" t="s">
        <v>35</v>
      </c>
      <c r="G60" s="22" t="s">
        <v>201</v>
      </c>
      <c r="H60" s="67">
        <v>37850</v>
      </c>
      <c r="I60" s="22" t="s">
        <v>119</v>
      </c>
      <c r="J60" s="22" t="s">
        <v>202</v>
      </c>
      <c r="K60" s="22" t="s">
        <v>35</v>
      </c>
      <c r="L60" s="22" t="s">
        <v>209</v>
      </c>
      <c r="N60" s="22" t="s">
        <v>205</v>
      </c>
      <c r="O60" s="22" t="s">
        <v>203</v>
      </c>
    </row>
    <row r="61" spans="1:15">
      <c r="A61" s="116" t="s">
        <v>1090</v>
      </c>
      <c r="B61" s="22" t="s">
        <v>208</v>
      </c>
      <c r="C61" s="22">
        <v>2012</v>
      </c>
      <c r="D61" s="22" t="s">
        <v>123</v>
      </c>
      <c r="E61" s="22" t="s">
        <v>211</v>
      </c>
      <c r="F61" s="22" t="s">
        <v>35</v>
      </c>
      <c r="G61" s="22" t="s">
        <v>201</v>
      </c>
      <c r="H61" s="67">
        <v>14050</v>
      </c>
      <c r="I61" s="22" t="s">
        <v>119</v>
      </c>
      <c r="J61" s="22" t="s">
        <v>202</v>
      </c>
      <c r="K61" s="22" t="s">
        <v>35</v>
      </c>
      <c r="L61" s="22" t="s">
        <v>209</v>
      </c>
      <c r="N61" s="22" t="s">
        <v>205</v>
      </c>
      <c r="O61" s="22" t="s">
        <v>203</v>
      </c>
    </row>
    <row r="62" spans="1:15">
      <c r="A62" s="116" t="s">
        <v>1090</v>
      </c>
      <c r="B62" s="22" t="s">
        <v>208</v>
      </c>
      <c r="C62" s="22">
        <v>2012</v>
      </c>
      <c r="D62" s="22" t="s">
        <v>123</v>
      </c>
      <c r="E62" s="22" t="s">
        <v>212</v>
      </c>
      <c r="F62" s="22" t="s">
        <v>35</v>
      </c>
      <c r="G62" s="22" t="s">
        <v>201</v>
      </c>
      <c r="H62" s="67">
        <v>2300</v>
      </c>
      <c r="I62" s="22" t="s">
        <v>119</v>
      </c>
      <c r="J62" s="22" t="s">
        <v>202</v>
      </c>
      <c r="K62" s="22" t="s">
        <v>35</v>
      </c>
      <c r="L62" s="22" t="s">
        <v>209</v>
      </c>
      <c r="N62" s="22" t="s">
        <v>205</v>
      </c>
      <c r="O62" s="22" t="s">
        <v>203</v>
      </c>
    </row>
    <row r="63" spans="1:15">
      <c r="A63" s="116" t="s">
        <v>1090</v>
      </c>
      <c r="B63" s="22" t="s">
        <v>213</v>
      </c>
      <c r="C63" s="22">
        <v>2010</v>
      </c>
      <c r="D63" s="22" t="s">
        <v>214</v>
      </c>
      <c r="E63" s="22" t="s">
        <v>124</v>
      </c>
      <c r="F63" s="22" t="s">
        <v>35</v>
      </c>
      <c r="G63" s="22" t="s">
        <v>201</v>
      </c>
      <c r="H63" s="67">
        <v>802.33</v>
      </c>
      <c r="I63" s="22" t="s">
        <v>119</v>
      </c>
      <c r="J63" s="22" t="s">
        <v>202</v>
      </c>
      <c r="K63" s="22" t="s">
        <v>35</v>
      </c>
      <c r="L63" s="22" t="s">
        <v>215</v>
      </c>
      <c r="N63" s="22" t="s">
        <v>216</v>
      </c>
      <c r="O63" s="22" t="s">
        <v>203</v>
      </c>
    </row>
    <row r="64" spans="1:15">
      <c r="A64" s="116" t="s">
        <v>1090</v>
      </c>
      <c r="B64" s="22" t="s">
        <v>213</v>
      </c>
      <c r="C64" s="22">
        <v>2010</v>
      </c>
      <c r="D64" s="22" t="s">
        <v>214</v>
      </c>
      <c r="E64" s="22" t="s">
        <v>133</v>
      </c>
      <c r="F64" s="22" t="s">
        <v>35</v>
      </c>
      <c r="G64" s="22" t="s">
        <v>201</v>
      </c>
      <c r="H64" s="67">
        <v>1487.67</v>
      </c>
      <c r="I64" s="22" t="s">
        <v>119</v>
      </c>
      <c r="J64" s="22" t="s">
        <v>202</v>
      </c>
      <c r="K64" s="22" t="s">
        <v>35</v>
      </c>
      <c r="L64" s="22" t="s">
        <v>215</v>
      </c>
      <c r="N64" s="22" t="s">
        <v>216</v>
      </c>
      <c r="O64" s="22" t="s">
        <v>203</v>
      </c>
    </row>
    <row r="65" spans="1:15">
      <c r="A65" s="116" t="s">
        <v>1090</v>
      </c>
      <c r="B65" s="22" t="s">
        <v>213</v>
      </c>
      <c r="C65" s="22">
        <v>2010</v>
      </c>
      <c r="D65" s="22" t="s">
        <v>214</v>
      </c>
      <c r="E65" s="22" t="s">
        <v>212</v>
      </c>
      <c r="F65" s="22" t="s">
        <v>35</v>
      </c>
      <c r="G65" s="22" t="s">
        <v>201</v>
      </c>
      <c r="H65" s="67">
        <v>19.329999999999998</v>
      </c>
      <c r="I65" s="22" t="s">
        <v>119</v>
      </c>
      <c r="J65" s="22" t="s">
        <v>202</v>
      </c>
      <c r="K65" s="22" t="s">
        <v>35</v>
      </c>
      <c r="L65" s="22" t="s">
        <v>215</v>
      </c>
      <c r="N65" s="22" t="s">
        <v>216</v>
      </c>
      <c r="O65" s="22" t="s">
        <v>203</v>
      </c>
    </row>
    <row r="66" spans="1:15">
      <c r="A66" s="116" t="s">
        <v>1090</v>
      </c>
      <c r="B66" s="22" t="s">
        <v>213</v>
      </c>
      <c r="C66" s="22">
        <v>2010</v>
      </c>
      <c r="D66" s="22" t="s">
        <v>214</v>
      </c>
      <c r="E66" s="22" t="s">
        <v>217</v>
      </c>
      <c r="F66" s="22" t="s">
        <v>35</v>
      </c>
      <c r="G66" s="22" t="s">
        <v>201</v>
      </c>
      <c r="H66" s="67">
        <v>4111</v>
      </c>
      <c r="I66" s="22" t="s">
        <v>119</v>
      </c>
      <c r="J66" s="22" t="s">
        <v>202</v>
      </c>
      <c r="K66" s="22" t="s">
        <v>35</v>
      </c>
      <c r="L66" s="22" t="s">
        <v>215</v>
      </c>
      <c r="N66" s="22" t="s">
        <v>216</v>
      </c>
      <c r="O66" s="22" t="s">
        <v>203</v>
      </c>
    </row>
    <row r="67" spans="1:15">
      <c r="A67" s="116" t="s">
        <v>1090</v>
      </c>
      <c r="B67" s="22" t="s">
        <v>218</v>
      </c>
      <c r="C67" s="22">
        <v>2010</v>
      </c>
      <c r="D67" s="22" t="s">
        <v>214</v>
      </c>
      <c r="E67" s="22" t="s">
        <v>136</v>
      </c>
      <c r="F67" s="22" t="s">
        <v>35</v>
      </c>
      <c r="G67" s="22" t="s">
        <v>201</v>
      </c>
      <c r="H67" s="67">
        <v>1084.5</v>
      </c>
      <c r="I67" s="22" t="s">
        <v>119</v>
      </c>
      <c r="J67" s="22" t="s">
        <v>202</v>
      </c>
      <c r="K67" s="22" t="s">
        <v>35</v>
      </c>
      <c r="L67" s="22" t="s">
        <v>219</v>
      </c>
      <c r="N67" s="22" t="s">
        <v>216</v>
      </c>
      <c r="O67" s="22" t="s">
        <v>203</v>
      </c>
    </row>
    <row r="68" spans="1:15">
      <c r="A68" s="116" t="s">
        <v>1090</v>
      </c>
      <c r="B68" s="22" t="s">
        <v>218</v>
      </c>
      <c r="C68" s="22">
        <v>2010</v>
      </c>
      <c r="D68" s="22" t="s">
        <v>214</v>
      </c>
      <c r="E68" s="22" t="s">
        <v>133</v>
      </c>
      <c r="F68" s="22" t="s">
        <v>35</v>
      </c>
      <c r="G68" s="22" t="s">
        <v>201</v>
      </c>
      <c r="H68" s="67">
        <v>961.5</v>
      </c>
      <c r="I68" s="22" t="s">
        <v>119</v>
      </c>
      <c r="J68" s="22" t="s">
        <v>202</v>
      </c>
      <c r="K68" s="22" t="s">
        <v>35</v>
      </c>
      <c r="L68" s="22" t="s">
        <v>219</v>
      </c>
      <c r="N68" s="22" t="s">
        <v>216</v>
      </c>
      <c r="O68" s="22" t="s">
        <v>203</v>
      </c>
    </row>
    <row r="69" spans="1:15">
      <c r="A69" s="116" t="s">
        <v>1090</v>
      </c>
      <c r="B69" s="22" t="s">
        <v>218</v>
      </c>
      <c r="C69" s="22">
        <v>2010</v>
      </c>
      <c r="D69" s="22" t="s">
        <v>214</v>
      </c>
      <c r="E69" s="22" t="s">
        <v>212</v>
      </c>
      <c r="F69" s="22" t="s">
        <v>35</v>
      </c>
      <c r="G69" s="22" t="s">
        <v>201</v>
      </c>
      <c r="H69" s="67">
        <v>1491.5</v>
      </c>
      <c r="I69" s="22" t="s">
        <v>119</v>
      </c>
      <c r="J69" s="22" t="s">
        <v>202</v>
      </c>
      <c r="K69" s="22" t="s">
        <v>35</v>
      </c>
      <c r="L69" s="22" t="s">
        <v>219</v>
      </c>
      <c r="N69" s="22" t="s">
        <v>216</v>
      </c>
      <c r="O69" s="22" t="s">
        <v>203</v>
      </c>
    </row>
    <row r="70" spans="1:15">
      <c r="A70" s="116" t="s">
        <v>1090</v>
      </c>
      <c r="B70" s="22" t="s">
        <v>218</v>
      </c>
      <c r="C70" s="22">
        <v>2014</v>
      </c>
      <c r="D70" s="22" t="s">
        <v>220</v>
      </c>
      <c r="E70" s="22" t="s">
        <v>136</v>
      </c>
      <c r="F70" s="22" t="s">
        <v>35</v>
      </c>
      <c r="G70" s="22" t="s">
        <v>201</v>
      </c>
      <c r="H70" s="67">
        <v>562.66999999999996</v>
      </c>
      <c r="I70" s="22" t="s">
        <v>119</v>
      </c>
      <c r="J70" s="22" t="s">
        <v>202</v>
      </c>
      <c r="K70" s="22" t="s">
        <v>35</v>
      </c>
      <c r="L70" s="22" t="s">
        <v>221</v>
      </c>
      <c r="N70" s="22" t="s">
        <v>222</v>
      </c>
      <c r="O70" s="22" t="s">
        <v>203</v>
      </c>
    </row>
    <row r="71" spans="1:15">
      <c r="A71" s="116" t="s">
        <v>1090</v>
      </c>
      <c r="B71" s="22" t="s">
        <v>218</v>
      </c>
      <c r="C71" s="22">
        <v>2014</v>
      </c>
      <c r="D71" s="22" t="s">
        <v>220</v>
      </c>
      <c r="E71" s="22" t="s">
        <v>133</v>
      </c>
      <c r="F71" s="22" t="s">
        <v>35</v>
      </c>
      <c r="G71" s="22" t="s">
        <v>201</v>
      </c>
      <c r="H71" s="67">
        <v>364.33</v>
      </c>
      <c r="I71" s="22" t="s">
        <v>119</v>
      </c>
      <c r="J71" s="22" t="s">
        <v>202</v>
      </c>
      <c r="K71" s="22" t="s">
        <v>35</v>
      </c>
      <c r="L71" s="22" t="s">
        <v>221</v>
      </c>
      <c r="N71" s="22" t="s">
        <v>222</v>
      </c>
      <c r="O71" s="22" t="s">
        <v>203</v>
      </c>
    </row>
    <row r="72" spans="1:15">
      <c r="A72" s="116" t="s">
        <v>1090</v>
      </c>
      <c r="B72" s="22" t="s">
        <v>218</v>
      </c>
      <c r="C72" s="22">
        <v>2014</v>
      </c>
      <c r="D72" s="22" t="s">
        <v>220</v>
      </c>
      <c r="E72" s="22" t="s">
        <v>212</v>
      </c>
      <c r="F72" s="22" t="s">
        <v>35</v>
      </c>
      <c r="G72" s="22" t="s">
        <v>201</v>
      </c>
      <c r="H72" s="67">
        <v>1202.33</v>
      </c>
      <c r="I72" s="22" t="s">
        <v>119</v>
      </c>
      <c r="J72" s="22" t="s">
        <v>202</v>
      </c>
      <c r="K72" s="22" t="s">
        <v>35</v>
      </c>
      <c r="L72" s="22" t="s">
        <v>221</v>
      </c>
      <c r="N72" s="22" t="s">
        <v>222</v>
      </c>
      <c r="O72" s="22" t="s">
        <v>203</v>
      </c>
    </row>
    <row r="73" spans="1:15">
      <c r="A73" s="116" t="s">
        <v>1090</v>
      </c>
      <c r="B73" s="22" t="s">
        <v>223</v>
      </c>
      <c r="C73" s="22">
        <v>2014</v>
      </c>
      <c r="D73" s="22" t="s">
        <v>220</v>
      </c>
      <c r="E73" s="22" t="s">
        <v>136</v>
      </c>
      <c r="F73" s="22" t="s">
        <v>35</v>
      </c>
      <c r="G73" s="22" t="s">
        <v>201</v>
      </c>
      <c r="H73" s="67">
        <v>981</v>
      </c>
      <c r="I73" s="22" t="s">
        <v>119</v>
      </c>
      <c r="J73" s="22" t="s">
        <v>202</v>
      </c>
      <c r="K73" s="22" t="s">
        <v>35</v>
      </c>
      <c r="L73" s="22" t="s">
        <v>224</v>
      </c>
      <c r="N73" s="22" t="s">
        <v>222</v>
      </c>
      <c r="O73" s="22" t="s">
        <v>203</v>
      </c>
    </row>
    <row r="74" spans="1:15">
      <c r="A74" s="116" t="s">
        <v>1090</v>
      </c>
      <c r="B74" s="22" t="s">
        <v>223</v>
      </c>
      <c r="C74" s="22">
        <v>2014</v>
      </c>
      <c r="D74" s="22" t="s">
        <v>220</v>
      </c>
      <c r="E74" s="22" t="s">
        <v>212</v>
      </c>
      <c r="F74" s="22" t="s">
        <v>35</v>
      </c>
      <c r="G74" s="22" t="s">
        <v>201</v>
      </c>
      <c r="H74" s="67">
        <v>378</v>
      </c>
      <c r="I74" s="22" t="s">
        <v>119</v>
      </c>
      <c r="J74" s="22" t="s">
        <v>202</v>
      </c>
      <c r="K74" s="22" t="s">
        <v>35</v>
      </c>
      <c r="L74" s="22" t="s">
        <v>224</v>
      </c>
      <c r="N74" s="22" t="s">
        <v>222</v>
      </c>
      <c r="O74" s="22" t="s">
        <v>203</v>
      </c>
    </row>
    <row r="75" spans="1:15">
      <c r="A75" s="116" t="s">
        <v>1090</v>
      </c>
      <c r="B75" s="22" t="s">
        <v>225</v>
      </c>
      <c r="C75" s="22">
        <v>2014</v>
      </c>
      <c r="D75" s="22" t="s">
        <v>220</v>
      </c>
      <c r="E75" s="22" t="s">
        <v>124</v>
      </c>
      <c r="F75" s="22" t="s">
        <v>35</v>
      </c>
      <c r="G75" s="22" t="s">
        <v>201</v>
      </c>
      <c r="H75" s="67">
        <v>177</v>
      </c>
      <c r="I75" s="22" t="s">
        <v>119</v>
      </c>
      <c r="J75" s="22" t="s">
        <v>202</v>
      </c>
      <c r="K75" s="22" t="s">
        <v>35</v>
      </c>
      <c r="L75" s="22" t="s">
        <v>224</v>
      </c>
      <c r="N75" s="22" t="s">
        <v>222</v>
      </c>
      <c r="O75" s="22" t="s">
        <v>203</v>
      </c>
    </row>
    <row r="76" spans="1:15">
      <c r="A76" s="116" t="s">
        <v>1090</v>
      </c>
      <c r="B76" s="22" t="s">
        <v>225</v>
      </c>
      <c r="C76" s="22">
        <v>2014</v>
      </c>
      <c r="D76" s="22" t="s">
        <v>220</v>
      </c>
      <c r="E76" s="22" t="s">
        <v>136</v>
      </c>
      <c r="F76" s="22" t="s">
        <v>35</v>
      </c>
      <c r="G76" s="22" t="s">
        <v>201</v>
      </c>
      <c r="H76" s="67">
        <v>531</v>
      </c>
      <c r="I76" s="22" t="s">
        <v>119</v>
      </c>
      <c r="J76" s="22" t="s">
        <v>202</v>
      </c>
      <c r="K76" s="22" t="s">
        <v>35</v>
      </c>
      <c r="L76" s="22" t="s">
        <v>224</v>
      </c>
      <c r="N76" s="22" t="s">
        <v>222</v>
      </c>
      <c r="O76" s="22" t="s">
        <v>203</v>
      </c>
    </row>
    <row r="77" spans="1:15">
      <c r="A77" s="116" t="s">
        <v>1090</v>
      </c>
      <c r="B77" s="22" t="s">
        <v>208</v>
      </c>
      <c r="C77" s="22">
        <v>2021</v>
      </c>
      <c r="D77" s="22" t="s">
        <v>123</v>
      </c>
      <c r="E77" s="22" t="s">
        <v>124</v>
      </c>
      <c r="F77" s="22" t="s">
        <v>35</v>
      </c>
      <c r="G77" s="22" t="s">
        <v>201</v>
      </c>
      <c r="H77" s="67">
        <v>30750</v>
      </c>
      <c r="I77" s="22" t="s">
        <v>119</v>
      </c>
      <c r="J77" s="22" t="s">
        <v>202</v>
      </c>
      <c r="K77" s="22" t="s">
        <v>35</v>
      </c>
      <c r="L77" s="22" t="s">
        <v>226</v>
      </c>
      <c r="N77" s="22" t="s">
        <v>227</v>
      </c>
      <c r="O77" s="22" t="s">
        <v>203</v>
      </c>
    </row>
    <row r="78" spans="1:15">
      <c r="A78" s="116" t="s">
        <v>1090</v>
      </c>
      <c r="B78" s="22" t="s">
        <v>208</v>
      </c>
      <c r="C78" s="22">
        <v>2021</v>
      </c>
      <c r="D78" s="22" t="s">
        <v>123</v>
      </c>
      <c r="E78" s="22" t="s">
        <v>118</v>
      </c>
      <c r="F78" s="22" t="s">
        <v>35</v>
      </c>
      <c r="G78" s="22" t="s">
        <v>201</v>
      </c>
      <c r="H78" s="67">
        <v>135333.32999999999</v>
      </c>
      <c r="I78" s="22" t="s">
        <v>119</v>
      </c>
      <c r="J78" s="22" t="s">
        <v>202</v>
      </c>
      <c r="K78" s="22" t="s">
        <v>35</v>
      </c>
      <c r="L78" s="22" t="s">
        <v>226</v>
      </c>
      <c r="N78" s="22" t="s">
        <v>227</v>
      </c>
      <c r="O78" s="22" t="s">
        <v>203</v>
      </c>
    </row>
    <row r="79" spans="1:15">
      <c r="A79" s="116" t="s">
        <v>1090</v>
      </c>
      <c r="B79" s="22" t="s">
        <v>208</v>
      </c>
      <c r="C79" s="22">
        <v>2021</v>
      </c>
      <c r="D79" s="22" t="s">
        <v>123</v>
      </c>
      <c r="E79" s="22" t="s">
        <v>136</v>
      </c>
      <c r="F79" s="22" t="s">
        <v>35</v>
      </c>
      <c r="G79" s="22" t="s">
        <v>201</v>
      </c>
      <c r="H79" s="67">
        <v>26666.67</v>
      </c>
      <c r="I79" s="22" t="s">
        <v>119</v>
      </c>
      <c r="J79" s="22" t="s">
        <v>202</v>
      </c>
      <c r="K79" s="22" t="s">
        <v>35</v>
      </c>
      <c r="L79" s="22" t="s">
        <v>226</v>
      </c>
      <c r="N79" s="22" t="s">
        <v>227</v>
      </c>
      <c r="O79" s="22" t="s">
        <v>203</v>
      </c>
    </row>
    <row r="80" spans="1:15">
      <c r="A80" s="116" t="s">
        <v>1090</v>
      </c>
      <c r="B80" s="22" t="s">
        <v>208</v>
      </c>
      <c r="C80" s="22">
        <v>2021</v>
      </c>
      <c r="D80" s="22" t="s">
        <v>123</v>
      </c>
      <c r="E80" s="22" t="s">
        <v>133</v>
      </c>
      <c r="F80" s="22" t="s">
        <v>35</v>
      </c>
      <c r="G80" s="22" t="s">
        <v>201</v>
      </c>
      <c r="H80" s="67">
        <v>0.08</v>
      </c>
      <c r="I80" s="22" t="s">
        <v>119</v>
      </c>
      <c r="J80" s="22" t="s">
        <v>202</v>
      </c>
      <c r="K80" s="22" t="s">
        <v>35</v>
      </c>
      <c r="L80" s="22" t="s">
        <v>226</v>
      </c>
      <c r="N80" s="22" t="s">
        <v>227</v>
      </c>
      <c r="O80" s="22" t="s">
        <v>203</v>
      </c>
    </row>
    <row r="81" spans="1:15">
      <c r="A81" s="116" t="s">
        <v>1090</v>
      </c>
      <c r="B81" s="22" t="s">
        <v>213</v>
      </c>
      <c r="C81" s="22">
        <v>2021</v>
      </c>
      <c r="D81" s="22" t="s">
        <v>123</v>
      </c>
      <c r="E81" s="22" t="s">
        <v>124</v>
      </c>
      <c r="F81" s="22" t="s">
        <v>35</v>
      </c>
      <c r="G81" s="22" t="s">
        <v>201</v>
      </c>
      <c r="H81" s="67">
        <v>11025</v>
      </c>
      <c r="I81" s="22" t="s">
        <v>119</v>
      </c>
      <c r="J81" s="22" t="s">
        <v>202</v>
      </c>
      <c r="K81" s="22" t="s">
        <v>35</v>
      </c>
      <c r="L81" s="22" t="s">
        <v>228</v>
      </c>
      <c r="N81" s="22" t="s">
        <v>227</v>
      </c>
      <c r="O81" s="22" t="s">
        <v>203</v>
      </c>
    </row>
    <row r="82" spans="1:15">
      <c r="A82" s="116" t="s">
        <v>1090</v>
      </c>
      <c r="B82" s="22" t="s">
        <v>213</v>
      </c>
      <c r="C82" s="22">
        <v>2021</v>
      </c>
      <c r="D82" s="22" t="s">
        <v>123</v>
      </c>
      <c r="E82" s="22" t="s">
        <v>118</v>
      </c>
      <c r="F82" s="22" t="s">
        <v>35</v>
      </c>
      <c r="G82" s="22" t="s">
        <v>201</v>
      </c>
      <c r="H82" s="67">
        <v>26000</v>
      </c>
      <c r="I82" s="22" t="s">
        <v>119</v>
      </c>
      <c r="J82" s="22" t="s">
        <v>202</v>
      </c>
      <c r="K82" s="22" t="s">
        <v>35</v>
      </c>
      <c r="L82" s="22" t="s">
        <v>228</v>
      </c>
      <c r="N82" s="22" t="s">
        <v>227</v>
      </c>
      <c r="O82" s="22" t="s">
        <v>203</v>
      </c>
    </row>
    <row r="83" spans="1:15">
      <c r="A83" s="116" t="s">
        <v>1090</v>
      </c>
      <c r="B83" s="22" t="s">
        <v>213</v>
      </c>
      <c r="C83" s="22">
        <v>2021</v>
      </c>
      <c r="D83" s="22" t="s">
        <v>123</v>
      </c>
      <c r="E83" s="22" t="s">
        <v>136</v>
      </c>
      <c r="F83" s="22" t="s">
        <v>35</v>
      </c>
      <c r="G83" s="22" t="s">
        <v>201</v>
      </c>
      <c r="H83" s="67">
        <v>3000</v>
      </c>
      <c r="I83" s="22" t="s">
        <v>119</v>
      </c>
      <c r="J83" s="22" t="s">
        <v>202</v>
      </c>
      <c r="K83" s="22" t="s">
        <v>35</v>
      </c>
      <c r="L83" s="22" t="s">
        <v>228</v>
      </c>
      <c r="N83" s="22" t="s">
        <v>227</v>
      </c>
      <c r="O83" s="22" t="s">
        <v>203</v>
      </c>
    </row>
    <row r="84" spans="1:15">
      <c r="A84" s="116" t="s">
        <v>1090</v>
      </c>
      <c r="B84" s="22" t="s">
        <v>213</v>
      </c>
      <c r="C84" s="22">
        <v>2021</v>
      </c>
      <c r="D84" s="22" t="s">
        <v>123</v>
      </c>
      <c r="E84" s="22" t="s">
        <v>133</v>
      </c>
      <c r="F84" s="22" t="s">
        <v>35</v>
      </c>
      <c r="G84" s="22" t="s">
        <v>201</v>
      </c>
      <c r="H84" s="67">
        <v>0.08</v>
      </c>
      <c r="I84" s="22" t="s">
        <v>119</v>
      </c>
      <c r="J84" s="22" t="s">
        <v>202</v>
      </c>
      <c r="K84" s="22" t="s">
        <v>35</v>
      </c>
      <c r="L84" s="22" t="s">
        <v>228</v>
      </c>
      <c r="N84" s="22" t="s">
        <v>227</v>
      </c>
      <c r="O84" s="22" t="s">
        <v>203</v>
      </c>
    </row>
    <row r="85" spans="1:15">
      <c r="A85" s="116" t="s">
        <v>1090</v>
      </c>
      <c r="B85" s="22" t="s">
        <v>225</v>
      </c>
      <c r="C85" s="22">
        <v>2021</v>
      </c>
      <c r="D85" s="22" t="s">
        <v>123</v>
      </c>
      <c r="E85" s="22" t="s">
        <v>133</v>
      </c>
      <c r="F85" s="22" t="s">
        <v>35</v>
      </c>
      <c r="G85" s="22" t="s">
        <v>201</v>
      </c>
      <c r="H85" s="67">
        <v>2000</v>
      </c>
      <c r="I85" s="22" t="s">
        <v>119</v>
      </c>
      <c r="J85" s="22" t="s">
        <v>202</v>
      </c>
      <c r="K85" s="22" t="s">
        <v>35</v>
      </c>
      <c r="L85" s="22" t="s">
        <v>229</v>
      </c>
      <c r="N85" s="22" t="s">
        <v>227</v>
      </c>
      <c r="O85" s="22" t="s">
        <v>203</v>
      </c>
    </row>
    <row r="86" spans="1:15">
      <c r="A86" s="116" t="s">
        <v>1090</v>
      </c>
      <c r="B86" s="22" t="s">
        <v>200</v>
      </c>
      <c r="C86" s="22">
        <v>2021</v>
      </c>
      <c r="D86" s="22" t="s">
        <v>123</v>
      </c>
      <c r="E86" s="22" t="s">
        <v>136</v>
      </c>
      <c r="F86" s="22" t="s">
        <v>35</v>
      </c>
      <c r="G86" s="22" t="s">
        <v>201</v>
      </c>
      <c r="H86" s="67">
        <v>8633.33</v>
      </c>
      <c r="I86" s="22" t="s">
        <v>119</v>
      </c>
      <c r="J86" s="22" t="s">
        <v>202</v>
      </c>
      <c r="K86" s="22" t="s">
        <v>35</v>
      </c>
      <c r="L86" s="22" t="s">
        <v>226</v>
      </c>
      <c r="N86" s="22" t="s">
        <v>227</v>
      </c>
      <c r="O86" s="22" t="s">
        <v>203</v>
      </c>
    </row>
    <row r="87" spans="1:15">
      <c r="A87" s="116" t="s">
        <v>1090</v>
      </c>
      <c r="B87" s="22" t="s">
        <v>200</v>
      </c>
      <c r="C87" s="22">
        <v>2021</v>
      </c>
      <c r="D87" s="22" t="s">
        <v>123</v>
      </c>
      <c r="E87" s="22" t="s">
        <v>133</v>
      </c>
      <c r="F87" s="22" t="s">
        <v>35</v>
      </c>
      <c r="G87" s="22" t="s">
        <v>201</v>
      </c>
      <c r="H87" s="67">
        <v>18466.669999999998</v>
      </c>
      <c r="I87" s="22" t="s">
        <v>119</v>
      </c>
      <c r="J87" s="22" t="s">
        <v>202</v>
      </c>
      <c r="K87" s="22" t="s">
        <v>35</v>
      </c>
      <c r="L87" s="22" t="s">
        <v>226</v>
      </c>
      <c r="N87" s="22" t="s">
        <v>227</v>
      </c>
      <c r="O87" s="22" t="s">
        <v>203</v>
      </c>
    </row>
    <row r="88" spans="1:15">
      <c r="A88" s="116" t="s">
        <v>1090</v>
      </c>
      <c r="B88" s="22" t="s">
        <v>218</v>
      </c>
      <c r="C88" s="22">
        <v>2021</v>
      </c>
      <c r="D88" s="22" t="s">
        <v>123</v>
      </c>
      <c r="E88" s="22" t="s">
        <v>136</v>
      </c>
      <c r="F88" s="22" t="s">
        <v>35</v>
      </c>
      <c r="G88" s="22" t="s">
        <v>201</v>
      </c>
      <c r="H88" s="67">
        <v>3150</v>
      </c>
      <c r="I88" s="22" t="s">
        <v>119</v>
      </c>
      <c r="J88" s="22" t="s">
        <v>202</v>
      </c>
      <c r="K88" s="22" t="s">
        <v>35</v>
      </c>
      <c r="L88" s="22" t="s">
        <v>228</v>
      </c>
      <c r="N88" s="22" t="s">
        <v>227</v>
      </c>
      <c r="O88" s="22" t="s">
        <v>203</v>
      </c>
    </row>
    <row r="89" spans="1:15">
      <c r="A89" s="116" t="s">
        <v>1090</v>
      </c>
      <c r="B89" s="22" t="s">
        <v>218</v>
      </c>
      <c r="C89" s="22">
        <v>2021</v>
      </c>
      <c r="D89" s="22" t="s">
        <v>123</v>
      </c>
      <c r="E89" s="22" t="s">
        <v>133</v>
      </c>
      <c r="F89" s="22" t="s">
        <v>35</v>
      </c>
      <c r="G89" s="22" t="s">
        <v>201</v>
      </c>
      <c r="H89" s="67">
        <v>5949.9999999999991</v>
      </c>
      <c r="I89" s="22" t="s">
        <v>119</v>
      </c>
      <c r="J89" s="22" t="s">
        <v>202</v>
      </c>
      <c r="K89" s="22" t="s">
        <v>35</v>
      </c>
      <c r="L89" s="22" t="s">
        <v>228</v>
      </c>
      <c r="N89" s="22" t="s">
        <v>227</v>
      </c>
      <c r="O89" s="22" t="s">
        <v>203</v>
      </c>
    </row>
    <row r="90" spans="1:15">
      <c r="A90" s="116" t="s">
        <v>1090</v>
      </c>
      <c r="B90" s="22" t="s">
        <v>225</v>
      </c>
      <c r="C90" s="22">
        <v>2021</v>
      </c>
      <c r="D90" s="22" t="s">
        <v>123</v>
      </c>
      <c r="E90" s="22" t="s">
        <v>133</v>
      </c>
      <c r="F90" s="22" t="s">
        <v>35</v>
      </c>
      <c r="G90" s="22" t="s">
        <v>201</v>
      </c>
      <c r="H90" s="67">
        <v>2000</v>
      </c>
      <c r="I90" s="22" t="s">
        <v>119</v>
      </c>
      <c r="J90" s="22" t="s">
        <v>202</v>
      </c>
      <c r="K90" s="22" t="s">
        <v>35</v>
      </c>
      <c r="L90" s="22" t="s">
        <v>229</v>
      </c>
      <c r="N90" s="22" t="s">
        <v>227</v>
      </c>
      <c r="O90" s="22" t="s">
        <v>203</v>
      </c>
    </row>
    <row r="91" spans="1:15">
      <c r="A91" s="116" t="s">
        <v>1090</v>
      </c>
      <c r="B91" s="22" t="s">
        <v>208</v>
      </c>
      <c r="C91" s="22">
        <v>2022</v>
      </c>
      <c r="D91" s="22" t="s">
        <v>230</v>
      </c>
      <c r="E91" s="22" t="s">
        <v>136</v>
      </c>
      <c r="F91" s="22" t="s">
        <v>35</v>
      </c>
      <c r="G91" s="22" t="s">
        <v>201</v>
      </c>
      <c r="H91" s="67">
        <v>9480</v>
      </c>
      <c r="I91" s="22" t="s">
        <v>119</v>
      </c>
      <c r="J91" s="22" t="s">
        <v>202</v>
      </c>
      <c r="K91" s="22" t="s">
        <v>35</v>
      </c>
      <c r="L91" s="22" t="s">
        <v>231</v>
      </c>
      <c r="N91" s="22" t="s">
        <v>232</v>
      </c>
      <c r="O91" s="22" t="s">
        <v>203</v>
      </c>
    </row>
    <row r="92" spans="1:15">
      <c r="A92" s="116" t="s">
        <v>1090</v>
      </c>
      <c r="B92" s="22" t="s">
        <v>208</v>
      </c>
      <c r="C92" s="22">
        <v>2022</v>
      </c>
      <c r="D92" s="22" t="s">
        <v>230</v>
      </c>
      <c r="E92" s="22" t="s">
        <v>124</v>
      </c>
      <c r="F92" s="22" t="s">
        <v>35</v>
      </c>
      <c r="G92" s="22" t="s">
        <v>201</v>
      </c>
      <c r="H92" s="67">
        <v>38118</v>
      </c>
      <c r="I92" s="22" t="s">
        <v>119</v>
      </c>
      <c r="J92" s="22" t="s">
        <v>202</v>
      </c>
      <c r="K92" s="22" t="s">
        <v>35</v>
      </c>
      <c r="L92" s="22" t="s">
        <v>231</v>
      </c>
      <c r="N92" s="22" t="s">
        <v>232</v>
      </c>
      <c r="O92" s="22" t="s">
        <v>203</v>
      </c>
    </row>
    <row r="93" spans="1:15">
      <c r="A93" s="116" t="s">
        <v>1090</v>
      </c>
      <c r="B93" s="22" t="s">
        <v>200</v>
      </c>
      <c r="C93" s="22">
        <v>2022</v>
      </c>
      <c r="D93" s="22" t="s">
        <v>230</v>
      </c>
      <c r="E93" s="22" t="s">
        <v>133</v>
      </c>
      <c r="F93" s="22" t="s">
        <v>35</v>
      </c>
      <c r="G93" s="22" t="s">
        <v>201</v>
      </c>
      <c r="H93" s="67">
        <v>6050</v>
      </c>
      <c r="I93" s="22" t="s">
        <v>119</v>
      </c>
      <c r="J93" s="22" t="s">
        <v>202</v>
      </c>
      <c r="K93" s="22" t="s">
        <v>35</v>
      </c>
      <c r="N93" s="22" t="s">
        <v>232</v>
      </c>
      <c r="O93" s="22" t="s">
        <v>203</v>
      </c>
    </row>
    <row r="94" spans="1:15">
      <c r="A94" s="116" t="s">
        <v>1090</v>
      </c>
      <c r="B94" s="22" t="s">
        <v>218</v>
      </c>
      <c r="C94" s="22">
        <v>2022</v>
      </c>
      <c r="D94" s="22" t="s">
        <v>230</v>
      </c>
      <c r="E94" s="22" t="s">
        <v>136</v>
      </c>
      <c r="F94" s="22" t="s">
        <v>35</v>
      </c>
      <c r="G94" s="22" t="s">
        <v>201</v>
      </c>
      <c r="H94" s="67">
        <v>1701.9</v>
      </c>
      <c r="I94" s="22" t="s">
        <v>119</v>
      </c>
      <c r="J94" s="22" t="s">
        <v>202</v>
      </c>
      <c r="K94" s="22" t="s">
        <v>35</v>
      </c>
      <c r="N94" s="22" t="s">
        <v>232</v>
      </c>
      <c r="O94" s="22" t="s">
        <v>203</v>
      </c>
    </row>
    <row r="95" spans="1:15">
      <c r="A95" s="116" t="s">
        <v>1090</v>
      </c>
      <c r="B95" s="22" t="s">
        <v>218</v>
      </c>
      <c r="C95" s="22">
        <v>2022</v>
      </c>
      <c r="D95" s="22" t="s">
        <v>230</v>
      </c>
      <c r="E95" s="22" t="s">
        <v>133</v>
      </c>
      <c r="F95" s="22" t="s">
        <v>35</v>
      </c>
      <c r="G95" s="22" t="s">
        <v>201</v>
      </c>
      <c r="H95" s="67">
        <v>75.599999999999994</v>
      </c>
      <c r="I95" s="22" t="s">
        <v>119</v>
      </c>
      <c r="J95" s="22" t="s">
        <v>202</v>
      </c>
      <c r="K95" s="22" t="s">
        <v>35</v>
      </c>
      <c r="N95" s="22" t="s">
        <v>232</v>
      </c>
      <c r="O95" s="22" t="s">
        <v>203</v>
      </c>
    </row>
    <row r="96" spans="1:15">
      <c r="A96" s="116" t="s">
        <v>1090</v>
      </c>
      <c r="B96" s="22" t="s">
        <v>223</v>
      </c>
      <c r="C96" s="22">
        <v>2022</v>
      </c>
      <c r="D96" s="22" t="s">
        <v>230</v>
      </c>
      <c r="E96" s="22" t="s">
        <v>136</v>
      </c>
      <c r="F96" s="22" t="s">
        <v>35</v>
      </c>
      <c r="G96" s="22" t="s">
        <v>201</v>
      </c>
      <c r="H96" s="67">
        <v>383.6</v>
      </c>
      <c r="I96" s="22" t="s">
        <v>119</v>
      </c>
      <c r="J96" s="22" t="s">
        <v>202</v>
      </c>
      <c r="K96" s="22" t="s">
        <v>35</v>
      </c>
      <c r="N96" s="22" t="s">
        <v>232</v>
      </c>
      <c r="O96" s="22" t="s">
        <v>203</v>
      </c>
    </row>
    <row r="97" spans="1:15">
      <c r="A97" s="116" t="s">
        <v>1090</v>
      </c>
      <c r="B97" s="22" t="s">
        <v>223</v>
      </c>
      <c r="C97" s="22">
        <v>2022</v>
      </c>
      <c r="D97" s="22" t="s">
        <v>230</v>
      </c>
      <c r="E97" s="22" t="s">
        <v>133</v>
      </c>
      <c r="F97" s="22" t="s">
        <v>35</v>
      </c>
      <c r="G97" s="22" t="s">
        <v>201</v>
      </c>
      <c r="H97" s="67">
        <v>864</v>
      </c>
      <c r="I97" s="22" t="s">
        <v>119</v>
      </c>
      <c r="J97" s="22" t="s">
        <v>202</v>
      </c>
      <c r="K97" s="22" t="s">
        <v>35</v>
      </c>
      <c r="N97" s="22" t="s">
        <v>232</v>
      </c>
      <c r="O97" s="22" t="s">
        <v>203</v>
      </c>
    </row>
    <row r="98" spans="1:15">
      <c r="A98" s="116" t="s">
        <v>1090</v>
      </c>
      <c r="B98" s="22" t="s">
        <v>148</v>
      </c>
      <c r="C98" s="22" t="s">
        <v>122</v>
      </c>
      <c r="D98" s="22" t="s">
        <v>123</v>
      </c>
      <c r="E98" s="71" t="s">
        <v>233</v>
      </c>
      <c r="F98" s="22" t="s">
        <v>35</v>
      </c>
      <c r="G98" s="22" t="s">
        <v>125</v>
      </c>
      <c r="H98" s="120">
        <f>AVERAGEIFS(raw_data_Wang2023!T:T,raw_data_Wang2023!S:S,Data!E98,raw_data_Wang2023!R:R,B98)</f>
        <v>53611.5</v>
      </c>
      <c r="I98" s="22" t="s">
        <v>234</v>
      </c>
      <c r="J98" s="22" t="s">
        <v>235</v>
      </c>
      <c r="K98" s="22" t="s">
        <v>35</v>
      </c>
      <c r="L98" s="22" t="s">
        <v>237</v>
      </c>
      <c r="M98" s="72" t="str">
        <f>CONCATENATE("13;",ROUND(_xlfn.MINIFS(raw_data_Wang2023!T:T,raw_data_Wang2023!S:S,Data!E128,raw_data_Wang2023!R:R,B98)/H98,2),"*value;",ROUND(_xlfn.MAXIFS(raw_data_Wang2023!T:T,raw_data_Wang2023!S:S,Data!E128,raw_data_Wang2023!R:R,B98)/H98,2),"*value")</f>
        <v>13;0,03*value;0,13*value</v>
      </c>
      <c r="N98" s="22" t="s">
        <v>238</v>
      </c>
      <c r="O98" t="s">
        <v>236</v>
      </c>
    </row>
    <row r="99" spans="1:15">
      <c r="A99" s="116" t="s">
        <v>1090</v>
      </c>
      <c r="B99" s="22" t="s">
        <v>148</v>
      </c>
      <c r="C99" s="22" t="s">
        <v>122</v>
      </c>
      <c r="D99" s="22" t="s">
        <v>123</v>
      </c>
      <c r="E99" s="71" t="s">
        <v>239</v>
      </c>
      <c r="F99" s="22" t="s">
        <v>35</v>
      </c>
      <c r="G99" s="22" t="s">
        <v>125</v>
      </c>
      <c r="H99" s="120">
        <f>AVERAGEIFS(raw_data_Wang2023!T:T,raw_data_Wang2023!S:S,Data!E99,raw_data_Wang2023!R:R,B99)</f>
        <v>123948</v>
      </c>
      <c r="I99" s="22" t="s">
        <v>234</v>
      </c>
      <c r="J99" s="22" t="s">
        <v>235</v>
      </c>
      <c r="K99" s="22" t="s">
        <v>35</v>
      </c>
      <c r="M99" s="72" t="str">
        <f>CONCATENATE("13;",ROUND(_xlfn.MINIFS(raw_data_Wang2023!T:T,raw_data_Wang2023!S:S,Data!E129,raw_data_Wang2023!R:R,B99)/H99,2),"*value;",ROUND(_xlfn.MAXIFS(raw_data_Wang2023!T:T,raw_data_Wang2023!S:S,Data!E129,raw_data_Wang2023!R:R,B99)/H99,2),"*value")</f>
        <v>13;0,31*value;0,59*value</v>
      </c>
      <c r="N99" s="22" t="s">
        <v>238</v>
      </c>
      <c r="O99" t="s">
        <v>236</v>
      </c>
    </row>
    <row r="100" spans="1:15">
      <c r="A100" s="116" t="s">
        <v>1090</v>
      </c>
      <c r="B100" s="22" t="s">
        <v>148</v>
      </c>
      <c r="C100" s="22" t="s">
        <v>122</v>
      </c>
      <c r="D100" s="22" t="s">
        <v>123</v>
      </c>
      <c r="E100" s="71" t="s">
        <v>240</v>
      </c>
      <c r="F100" s="22" t="s">
        <v>35</v>
      </c>
      <c r="G100" s="22" t="s">
        <v>125</v>
      </c>
      <c r="H100" s="120">
        <f>AVERAGEIFS(raw_data_Wang2023!T:T,raw_data_Wang2023!S:S,Data!E100,raw_data_Wang2023!R:R,B100)</f>
        <v>3445.6363636363635</v>
      </c>
      <c r="I100" s="22" t="s">
        <v>234</v>
      </c>
      <c r="J100" s="22" t="s">
        <v>235</v>
      </c>
      <c r="K100" s="22" t="s">
        <v>35</v>
      </c>
      <c r="M100" s="72" t="str">
        <f>CONCATENATE("13;",ROUND(_xlfn.MINIFS(raw_data_Wang2023!T:T,raw_data_Wang2023!S:S,Data!E130,raw_data_Wang2023!R:R,B100)/H100,2),"*value;",ROUND(_xlfn.MAXIFS(raw_data_Wang2023!T:T,raw_data_Wang2023!S:S,Data!E130,raw_data_Wang2023!R:R,B100)/H100,2),"*value")</f>
        <v>13;34,97*value;37,87*value</v>
      </c>
      <c r="N100" s="22" t="s">
        <v>238</v>
      </c>
      <c r="O100" t="s">
        <v>236</v>
      </c>
    </row>
    <row r="101" spans="1:15">
      <c r="A101" s="116" t="s">
        <v>1090</v>
      </c>
      <c r="B101" s="22" t="s">
        <v>148</v>
      </c>
      <c r="C101" s="22" t="s">
        <v>122</v>
      </c>
      <c r="D101" s="22" t="s">
        <v>123</v>
      </c>
      <c r="E101" s="71" t="s">
        <v>241</v>
      </c>
      <c r="F101" s="22" t="s">
        <v>35</v>
      </c>
      <c r="G101" s="22" t="s">
        <v>125</v>
      </c>
      <c r="H101" s="120">
        <f>AVERAGEIFS(raw_data_Wang2023!T:T,raw_data_Wang2023!S:S,Data!E101,raw_data_Wang2023!R:R,B101)</f>
        <v>7726.666666666667</v>
      </c>
      <c r="I101" s="22" t="s">
        <v>234</v>
      </c>
      <c r="J101" s="22" t="s">
        <v>235</v>
      </c>
      <c r="K101" s="22" t="s">
        <v>35</v>
      </c>
      <c r="M101" s="72" t="str">
        <f>CONCATENATE("13;",ROUND(_xlfn.MINIFS(raw_data_Wang2023!T:T,raw_data_Wang2023!S:S,Data!E131,raw_data_Wang2023!R:R,B101)/H101,2),"*value;",ROUND(_xlfn.MAXIFS(raw_data_Wang2023!T:T,raw_data_Wang2023!S:S,Data!E131,raw_data_Wang2023!R:R,B101)/H101,2),"*value")</f>
        <v>13;0,63*value;1,71*value</v>
      </c>
      <c r="N101" s="22" t="s">
        <v>238</v>
      </c>
      <c r="O101" t="s">
        <v>236</v>
      </c>
    </row>
    <row r="102" spans="1:15">
      <c r="A102" s="116" t="s">
        <v>1090</v>
      </c>
      <c r="B102" s="22" t="s">
        <v>148</v>
      </c>
      <c r="C102" s="22" t="s">
        <v>122</v>
      </c>
      <c r="D102" s="22" t="s">
        <v>123</v>
      </c>
      <c r="E102" s="71" t="s">
        <v>242</v>
      </c>
      <c r="F102" s="22" t="s">
        <v>35</v>
      </c>
      <c r="G102" s="22" t="s">
        <v>125</v>
      </c>
      <c r="H102" s="120">
        <f>AVERAGEIFS(raw_data_Wang2023!T:T,raw_data_Wang2023!S:S,Data!E102,raw_data_Wang2023!R:R,B102)</f>
        <v>7912</v>
      </c>
      <c r="I102" s="22" t="s">
        <v>234</v>
      </c>
      <c r="J102" s="22" t="s">
        <v>235</v>
      </c>
      <c r="K102" s="22" t="s">
        <v>35</v>
      </c>
      <c r="M102" s="72" t="str">
        <f>CONCATENATE("13;",ROUND(_xlfn.MINIFS(raw_data_Wang2023!T:T,raw_data_Wang2023!S:S,Data!E132,raw_data_Wang2023!R:R,B102)/H102,2),"*value;",ROUND(_xlfn.MAXIFS(raw_data_Wang2023!T:T,raw_data_Wang2023!S:S,Data!E132,raw_data_Wang2023!R:R,B102)/H102,2),"*value")</f>
        <v>13;0,21*value;0,85*value</v>
      </c>
      <c r="N102" s="22" t="s">
        <v>238</v>
      </c>
      <c r="O102" t="s">
        <v>236</v>
      </c>
    </row>
    <row r="103" spans="1:15">
      <c r="A103" s="116" t="s">
        <v>1090</v>
      </c>
      <c r="B103" s="22" t="s">
        <v>155</v>
      </c>
      <c r="C103" s="22" t="s">
        <v>122</v>
      </c>
      <c r="D103" s="22" t="s">
        <v>123</v>
      </c>
      <c r="E103" s="71" t="s">
        <v>242</v>
      </c>
      <c r="F103" s="22" t="s">
        <v>35</v>
      </c>
      <c r="G103" s="22" t="s">
        <v>125</v>
      </c>
      <c r="H103" s="120">
        <f>AVERAGEIFS(raw_data_Wang2023!T:T,raw_data_Wang2023!S:S,Data!E103,raw_data_Wang2023!R:R,B103)</f>
        <v>7792.2</v>
      </c>
      <c r="I103" s="22" t="s">
        <v>234</v>
      </c>
      <c r="J103" s="22" t="s">
        <v>235</v>
      </c>
      <c r="K103" s="22" t="s">
        <v>35</v>
      </c>
      <c r="L103" s="22" t="s">
        <v>243</v>
      </c>
      <c r="M103" s="72" t="str">
        <f>CONCATENATE("13;",ROUND(_xlfn.MINIFS(raw_data_Wang2023!T:T,raw_data_Wang2023!S:S,Data!E134,raw_data_Wang2023!R:R,B103)/H103,2),"*value;",ROUND(_xlfn.MAXIFS(raw_data_Wang2023!T:T,raw_data_Wang2023!S:S,Data!E134,raw_data_Wang2023!R:R,B103)/H103,2),"*value")</f>
        <v>13;18,94*value;117,71*value</v>
      </c>
      <c r="N103" s="22" t="s">
        <v>238</v>
      </c>
      <c r="O103" t="s">
        <v>236</v>
      </c>
    </row>
    <row r="104" spans="1:15">
      <c r="A104" s="116" t="s">
        <v>1090</v>
      </c>
      <c r="B104" s="22" t="s">
        <v>155</v>
      </c>
      <c r="C104" s="22" t="s">
        <v>122</v>
      </c>
      <c r="D104" s="22" t="s">
        <v>123</v>
      </c>
      <c r="E104" s="71" t="s">
        <v>239</v>
      </c>
      <c r="F104" s="22" t="s">
        <v>35</v>
      </c>
      <c r="G104" s="22" t="s">
        <v>125</v>
      </c>
      <c r="H104" s="120">
        <f>AVERAGEIFS(raw_data_Wang2023!T:T,raw_data_Wang2023!S:S,Data!E104,raw_data_Wang2023!R:R,B104)</f>
        <v>518313.6</v>
      </c>
      <c r="I104" s="22" t="s">
        <v>234</v>
      </c>
      <c r="J104" s="22" t="s">
        <v>235</v>
      </c>
      <c r="K104" s="22" t="s">
        <v>35</v>
      </c>
      <c r="L104" s="22" t="s">
        <v>243</v>
      </c>
      <c r="M104" s="72" t="str">
        <f>CONCATENATE("13;",ROUND(_xlfn.MINIFS(raw_data_Wang2023!T:T,raw_data_Wang2023!S:S,Data!E135,raw_data_Wang2023!R:R,B104)/H104,2),"*value;",ROUND(_xlfn.MAXIFS(raw_data_Wang2023!T:T,raw_data_Wang2023!S:S,Data!E135,raw_data_Wang2023!R:R,B104)/H104,2),"*value")</f>
        <v>13;0*value;0*value</v>
      </c>
      <c r="N104" s="22" t="s">
        <v>238</v>
      </c>
      <c r="O104" t="s">
        <v>236</v>
      </c>
    </row>
    <row r="105" spans="1:15">
      <c r="A105" s="116" t="s">
        <v>1090</v>
      </c>
      <c r="B105" s="22" t="s">
        <v>155</v>
      </c>
      <c r="C105" s="22" t="s">
        <v>122</v>
      </c>
      <c r="D105" s="22" t="s">
        <v>123</v>
      </c>
      <c r="E105" s="71" t="s">
        <v>240</v>
      </c>
      <c r="F105" s="22" t="s">
        <v>35</v>
      </c>
      <c r="G105" s="22" t="s">
        <v>125</v>
      </c>
      <c r="H105" s="120">
        <f>AVERAGEIFS(raw_data_Wang2023!T:T,raw_data_Wang2023!S:S,Data!E105,raw_data_Wang2023!R:R,B105)</f>
        <v>6229.1428571428569</v>
      </c>
      <c r="I105" s="22" t="s">
        <v>234</v>
      </c>
      <c r="J105" s="22" t="s">
        <v>235</v>
      </c>
      <c r="K105" s="22" t="s">
        <v>35</v>
      </c>
      <c r="L105" s="22" t="s">
        <v>243</v>
      </c>
      <c r="M105" s="72" t="str">
        <f>CONCATENATE("13;",ROUND(_xlfn.MINIFS(raw_data_Wang2023!T:T,raw_data_Wang2023!S:S,Data!E136,raw_data_Wang2023!R:R,B105)/H105,2),"*value;",ROUND(_xlfn.MAXIFS(raw_data_Wang2023!T:T,raw_data_Wang2023!S:S,Data!E136,raw_data_Wang2023!R:R,B105)/H105,2),"*value")</f>
        <v>13;0,26*value;1,61*value</v>
      </c>
      <c r="N105" s="22" t="s">
        <v>238</v>
      </c>
      <c r="O105" t="s">
        <v>236</v>
      </c>
    </row>
    <row r="106" spans="1:15">
      <c r="A106" s="116" t="s">
        <v>1090</v>
      </c>
      <c r="B106" s="22" t="s">
        <v>155</v>
      </c>
      <c r="C106" s="22" t="s">
        <v>122</v>
      </c>
      <c r="D106" s="22" t="s">
        <v>123</v>
      </c>
      <c r="E106" s="71" t="s">
        <v>241</v>
      </c>
      <c r="F106" s="22" t="s">
        <v>35</v>
      </c>
      <c r="G106" s="22" t="s">
        <v>125</v>
      </c>
      <c r="H106" s="120">
        <f>AVERAGEIFS(raw_data_Wang2023!T:T,raw_data_Wang2023!S:S,Data!E106,raw_data_Wang2023!R:R,B106)</f>
        <v>1098.4000000000001</v>
      </c>
      <c r="I106" s="22" t="s">
        <v>234</v>
      </c>
      <c r="J106" s="22" t="s">
        <v>235</v>
      </c>
      <c r="K106" s="22" t="s">
        <v>35</v>
      </c>
      <c r="L106" s="22" t="s">
        <v>243</v>
      </c>
      <c r="M106" s="72" t="str">
        <f>CONCATENATE("13;",ROUND(_xlfn.MINIFS(raw_data_Wang2023!T:T,raw_data_Wang2023!S:S,Data!E137,raw_data_Wang2023!R:R,B106)/H106,2),"*value;",ROUND(_xlfn.MAXIFS(raw_data_Wang2023!T:T,raw_data_Wang2023!S:S,Data!E137,raw_data_Wang2023!R:R,B106)/H106,2),"*value")</f>
        <v>13;0,13*value;0,2*value</v>
      </c>
      <c r="N106" s="22" t="s">
        <v>238</v>
      </c>
      <c r="O106" t="s">
        <v>236</v>
      </c>
    </row>
    <row r="107" spans="1:15">
      <c r="A107" s="116" t="s">
        <v>1090</v>
      </c>
      <c r="B107" s="22" t="s">
        <v>155</v>
      </c>
      <c r="C107" s="22" t="s">
        <v>122</v>
      </c>
      <c r="D107" s="22" t="s">
        <v>123</v>
      </c>
      <c r="E107" s="22" t="s">
        <v>233</v>
      </c>
      <c r="F107" s="22" t="s">
        <v>35</v>
      </c>
      <c r="G107" s="22" t="s">
        <v>125</v>
      </c>
      <c r="H107" s="120">
        <f>AVERAGEIFS(raw_data_Wang2023!T:T,raw_data_Wang2023!S:S,Data!E107,raw_data_Wang2023!R:R,B107)</f>
        <v>181</v>
      </c>
      <c r="I107" s="22" t="s">
        <v>234</v>
      </c>
      <c r="J107" s="22" t="s">
        <v>235</v>
      </c>
      <c r="K107" s="22" t="s">
        <v>35</v>
      </c>
      <c r="L107" s="22" t="s">
        <v>243</v>
      </c>
      <c r="M107" s="72" t="str">
        <f>CONCATENATE("13;",ROUND(_xlfn.MINIFS(raw_data_Wang2023!T:T,raw_data_Wang2023!S:S,Data!E138,raw_data_Wang2023!R:R,B107)/H107,2),"*value;",ROUND(_xlfn.MAXIFS(raw_data_Wang2023!T:T,raw_data_Wang2023!S:S,Data!E138,raw_data_Wang2023!R:R,B107)/H107,2),"*value")</f>
        <v>13;815,34*value;5067,54*value</v>
      </c>
      <c r="N107" s="22" t="s">
        <v>238</v>
      </c>
      <c r="O107" t="s">
        <v>236</v>
      </c>
    </row>
    <row r="108" spans="1:15">
      <c r="A108" s="116" t="s">
        <v>1090</v>
      </c>
      <c r="B108" s="22" t="s">
        <v>244</v>
      </c>
      <c r="C108" s="22" t="s">
        <v>122</v>
      </c>
      <c r="E108" s="72" t="s">
        <v>239</v>
      </c>
      <c r="F108" s="22" t="s">
        <v>35</v>
      </c>
      <c r="G108" s="22" t="s">
        <v>125</v>
      </c>
      <c r="H108" s="120">
        <f>AVERAGEIFS(raw_data_Wang2023!T:T,raw_data_Wang2023!S:S,Data!E108,raw_data_Wang2023!R:R,B108)</f>
        <v>61633.333333333336</v>
      </c>
      <c r="I108" s="22" t="s">
        <v>234</v>
      </c>
      <c r="J108" s="22" t="s">
        <v>235</v>
      </c>
      <c r="K108" s="22" t="s">
        <v>35</v>
      </c>
      <c r="L108" s="71" t="s">
        <v>245</v>
      </c>
      <c r="M108" s="72" t="str">
        <f>CONCATENATE("13;",ROUND(_xlfn.MINIFS(raw_data_Wang2023!T:T,raw_data_Wang2023!S:S,Data!E140,raw_data_Wang2023!R:R,B108)/H108,2),"*value;",ROUND(_xlfn.MAXIFS(raw_data_Wang2023!T:T,raw_data_Wang2023!S:S,Data!E140,raw_data_Wang2023!R:R,B108)/H108,2),"*value")</f>
        <v>13;0,08*value;0,12*value</v>
      </c>
      <c r="N108" s="22" t="s">
        <v>238</v>
      </c>
      <c r="O108" t="s">
        <v>236</v>
      </c>
    </row>
    <row r="109" spans="1:15">
      <c r="A109" s="116" t="s">
        <v>1090</v>
      </c>
      <c r="B109" s="22" t="s">
        <v>244</v>
      </c>
      <c r="C109" s="22" t="s">
        <v>122</v>
      </c>
      <c r="E109" s="72" t="s">
        <v>246</v>
      </c>
      <c r="F109" s="22" t="s">
        <v>35</v>
      </c>
      <c r="G109" s="22" t="s">
        <v>125</v>
      </c>
      <c r="H109" s="120">
        <f>AVERAGEIFS(raw_data_Wang2023!T:T,raw_data_Wang2023!S:S,Data!E109,raw_data_Wang2023!R:R,B109)</f>
        <v>60025</v>
      </c>
      <c r="I109" s="22" t="s">
        <v>234</v>
      </c>
      <c r="J109" s="22" t="s">
        <v>235</v>
      </c>
      <c r="K109" s="22" t="s">
        <v>35</v>
      </c>
      <c r="L109" s="71" t="s">
        <v>245</v>
      </c>
      <c r="M109" s="72" t="str">
        <f>CONCATENATE("13;",ROUND(_xlfn.MINIFS(raw_data_Wang2023!T:T,raw_data_Wang2023!S:S,Data!E141,raw_data_Wang2023!R:R,B109)/H109,2),"*value;",ROUND(_xlfn.MAXIFS(raw_data_Wang2023!T:T,raw_data_Wang2023!S:S,Data!E141,raw_data_Wang2023!R:R,B109)/H109,2),"*value")</f>
        <v>13;0,08*value;0,18*value</v>
      </c>
      <c r="N109" s="22" t="s">
        <v>238</v>
      </c>
      <c r="O109" t="s">
        <v>236</v>
      </c>
    </row>
    <row r="110" spans="1:15">
      <c r="A110" s="116" t="s">
        <v>1090</v>
      </c>
      <c r="B110" s="22" t="s">
        <v>244</v>
      </c>
      <c r="C110" s="22" t="s">
        <v>122</v>
      </c>
      <c r="E110" s="71" t="s">
        <v>241</v>
      </c>
      <c r="F110" s="22" t="s">
        <v>35</v>
      </c>
      <c r="G110" s="22" t="s">
        <v>125</v>
      </c>
      <c r="H110" s="120">
        <f>AVERAGEIFS(raw_data_Wang2023!T:T,raw_data_Wang2023!S:S,Data!E110,raw_data_Wang2023!R:R,B110)</f>
        <v>21250</v>
      </c>
      <c r="I110" s="22" t="s">
        <v>234</v>
      </c>
      <c r="J110" s="22" t="s">
        <v>235</v>
      </c>
      <c r="K110" s="22" t="s">
        <v>35</v>
      </c>
      <c r="L110" s="71" t="s">
        <v>245</v>
      </c>
      <c r="M110" s="72" t="str">
        <f>CONCATENATE("13;",ROUND(_xlfn.MINIFS(raw_data_Wang2023!T:T,raw_data_Wang2023!S:S,Data!E142,raw_data_Wang2023!R:R,B110)/H110,2),"*value;",ROUND(_xlfn.MAXIFS(raw_data_Wang2023!T:T,raw_data_Wang2023!S:S,Data!E142,raw_data_Wang2023!R:R,B110)/H110,2),"*value")</f>
        <v>13;2,63*value;3,44*value</v>
      </c>
      <c r="N110" s="22" t="s">
        <v>238</v>
      </c>
      <c r="O110" t="s">
        <v>236</v>
      </c>
    </row>
    <row r="111" spans="1:15">
      <c r="A111" s="116" t="s">
        <v>1090</v>
      </c>
      <c r="B111" s="22" t="s">
        <v>244</v>
      </c>
      <c r="C111" s="22" t="s">
        <v>122</v>
      </c>
      <c r="E111" s="71" t="s">
        <v>240</v>
      </c>
      <c r="F111" s="22" t="s">
        <v>35</v>
      </c>
      <c r="G111" s="22" t="s">
        <v>125</v>
      </c>
      <c r="H111" s="120">
        <f>AVERAGEIFS(raw_data_Wang2023!T:T,raw_data_Wang2023!S:S,Data!E111,raw_data_Wang2023!R:R,B111)</f>
        <v>6607.5</v>
      </c>
      <c r="I111" s="22" t="s">
        <v>234</v>
      </c>
      <c r="J111" s="22" t="s">
        <v>235</v>
      </c>
      <c r="K111" s="22" t="s">
        <v>35</v>
      </c>
      <c r="L111" s="71" t="s">
        <v>245</v>
      </c>
      <c r="M111" s="72" t="str">
        <f>CONCATENATE("13;",ROUND(_xlfn.MINIFS(raw_data_Wang2023!T:T,raw_data_Wang2023!S:S,Data!E143,raw_data_Wang2023!R:R,B111)/H111,2),"*value;",ROUND(_xlfn.MAXIFS(raw_data_Wang2023!T:T,raw_data_Wang2023!S:S,Data!E143,raw_data_Wang2023!R:R,B111)/H111,2),"*value")</f>
        <v>13;1,29*value;5,83*value</v>
      </c>
      <c r="N111" s="22" t="s">
        <v>238</v>
      </c>
      <c r="O111" t="s">
        <v>236</v>
      </c>
    </row>
    <row r="112" spans="1:15">
      <c r="A112" s="116" t="s">
        <v>1090</v>
      </c>
      <c r="B112" s="22" t="s">
        <v>244</v>
      </c>
      <c r="C112" s="22" t="s">
        <v>122</v>
      </c>
      <c r="E112" s="72" t="s">
        <v>247</v>
      </c>
      <c r="F112" s="22" t="s">
        <v>35</v>
      </c>
      <c r="G112" s="22" t="s">
        <v>125</v>
      </c>
      <c r="H112" s="120">
        <f>AVERAGEIFS(raw_data_Wang2023!T:T,raw_data_Wang2023!S:S,Data!E112,raw_data_Wang2023!R:R,B112)</f>
        <v>3376.125</v>
      </c>
      <c r="I112" s="22" t="s">
        <v>234</v>
      </c>
      <c r="J112" s="22" t="s">
        <v>235</v>
      </c>
      <c r="K112" s="22" t="s">
        <v>35</v>
      </c>
      <c r="L112" s="71" t="s">
        <v>245</v>
      </c>
      <c r="M112" s="72" t="str">
        <f>CONCATENATE("13;",ROUND(_xlfn.MINIFS(raw_data_Wang2023!T:T,raw_data_Wang2023!S:S,Data!E144,raw_data_Wang2023!R:R,B112)/H112,2),"*value;",ROUND(_xlfn.MAXIFS(raw_data_Wang2023!T:T,raw_data_Wang2023!S:S,Data!E144,raw_data_Wang2023!R:R,B112)/H112,2),"*value")</f>
        <v>13;1,45*value;2,23*value</v>
      </c>
      <c r="N112" s="22" t="s">
        <v>238</v>
      </c>
      <c r="O112" t="s">
        <v>236</v>
      </c>
    </row>
    <row r="113" spans="1:15" ht="15.5">
      <c r="A113" s="116" t="s">
        <v>1090</v>
      </c>
      <c r="B113" s="22" t="s">
        <v>167</v>
      </c>
      <c r="C113" s="22" t="s">
        <v>122</v>
      </c>
      <c r="E113" s="82" t="s">
        <v>248</v>
      </c>
      <c r="F113" s="22" t="s">
        <v>35</v>
      </c>
      <c r="G113" s="22" t="s">
        <v>125</v>
      </c>
      <c r="H113" s="120">
        <f>AVERAGEIFS(raw_data_Wang2023!T:T,raw_data_Wang2023!S:S,Data!E113,raw_data_Wang2023!R:R,B113)</f>
        <v>14.5</v>
      </c>
      <c r="I113" s="22" t="s">
        <v>234</v>
      </c>
      <c r="J113" s="22" t="s">
        <v>235</v>
      </c>
      <c r="K113" s="22" t="s">
        <v>35</v>
      </c>
      <c r="L113" s="22" t="str">
        <f>raw_data_Wang2023!B265</f>
        <v>CSP trough</v>
      </c>
      <c r="M113" s="72" t="str">
        <f>CONCATENATE("13;",ROUND(_xlfn.MINIFS(raw_data_Wang2023!T:T,raw_data_Wang2023!S:S,Data!E146,raw_data_Wang2023!R:R,B113)/H113,2),"*value;",ROUND(_xlfn.MAXIFS(raw_data_Wang2023!T:T,raw_data_Wang2023!S:S,Data!E146,raw_data_Wang2023!R:R,B113)/H113,2),"*value")</f>
        <v>13;16551,72*value;27586,21*value</v>
      </c>
      <c r="N113" s="22" t="s">
        <v>238</v>
      </c>
      <c r="O113" t="s">
        <v>236</v>
      </c>
    </row>
    <row r="114" spans="1:15">
      <c r="A114" s="116" t="s">
        <v>1090</v>
      </c>
      <c r="B114" s="22" t="s">
        <v>167</v>
      </c>
      <c r="C114" s="22" t="s">
        <v>122</v>
      </c>
      <c r="E114" s="71" t="s">
        <v>241</v>
      </c>
      <c r="F114" s="22" t="s">
        <v>35</v>
      </c>
      <c r="G114" s="22" t="s">
        <v>125</v>
      </c>
      <c r="H114" s="120">
        <f>AVERAGEIFS(raw_data_Wang2023!T:T,raw_data_Wang2023!S:S,Data!E114,raw_data_Wang2023!R:R,B114)</f>
        <v>5500</v>
      </c>
      <c r="I114" s="22" t="s">
        <v>234</v>
      </c>
      <c r="J114" s="22" t="s">
        <v>235</v>
      </c>
      <c r="K114" s="22" t="s">
        <v>35</v>
      </c>
      <c r="L114" s="22" t="str">
        <f t="shared" ref="L114:L120" si="0">L113</f>
        <v>CSP trough</v>
      </c>
      <c r="M114" s="72" t="str">
        <f>CONCATENATE("13;",ROUND(_xlfn.MINIFS(raw_data_Wang2023!T:T,raw_data_Wang2023!S:S,Data!E147,raw_data_Wang2023!R:R,B114)/H114,2),"*value;",ROUND(_xlfn.MAXIFS(raw_data_Wang2023!T:T,raw_data_Wang2023!S:S,Data!E147,raw_data_Wang2023!R:R,B114)/H114,2),"*value")</f>
        <v>13;0*value;2*value</v>
      </c>
      <c r="N114" s="22" t="s">
        <v>238</v>
      </c>
      <c r="O114" t="s">
        <v>236</v>
      </c>
    </row>
    <row r="115" spans="1:15" ht="15.5">
      <c r="A115" s="116" t="s">
        <v>1090</v>
      </c>
      <c r="B115" s="22" t="s">
        <v>167</v>
      </c>
      <c r="C115" s="22" t="s">
        <v>122</v>
      </c>
      <c r="E115" s="75" t="s">
        <v>233</v>
      </c>
      <c r="F115" s="22" t="s">
        <v>35</v>
      </c>
      <c r="G115" s="22" t="s">
        <v>125</v>
      </c>
      <c r="H115" s="120">
        <f>AVERAGEIFS(raw_data_Wang2023!T:T,raw_data_Wang2023!S:S,Data!E115,raw_data_Wang2023!R:R,B115)</f>
        <v>161000</v>
      </c>
      <c r="I115" s="22" t="s">
        <v>234</v>
      </c>
      <c r="J115" s="22" t="s">
        <v>235</v>
      </c>
      <c r="K115" s="22" t="s">
        <v>35</v>
      </c>
      <c r="L115" s="22" t="str">
        <f t="shared" si="0"/>
        <v>CSP trough</v>
      </c>
      <c r="M115" s="72" t="str">
        <f>CONCATENATE("13;",ROUND(_xlfn.MINIFS(raw_data_Wang2023!T:T,raw_data_Wang2023!S:S,Data!E148,raw_data_Wang2023!R:R,B115)/H115,2),"*value;",ROUND(_xlfn.MAXIFS(raw_data_Wang2023!T:T,raw_data_Wang2023!S:S,Data!E148,raw_data_Wang2023!R:R,B115)/H115,2),"*value")</f>
        <v>13;0,01*value;0,02*value</v>
      </c>
      <c r="N115" s="22" t="s">
        <v>238</v>
      </c>
      <c r="O115" t="s">
        <v>236</v>
      </c>
    </row>
    <row r="116" spans="1:15">
      <c r="A116" s="116" t="s">
        <v>1090</v>
      </c>
      <c r="B116" s="22" t="s">
        <v>167</v>
      </c>
      <c r="C116" s="22" t="s">
        <v>122</v>
      </c>
      <c r="E116" s="71" t="s">
        <v>240</v>
      </c>
      <c r="F116" s="22" t="s">
        <v>35</v>
      </c>
      <c r="G116" s="22" t="s">
        <v>125</v>
      </c>
      <c r="H116" s="120">
        <f>AVERAGEIFS(raw_data_Wang2023!T:T,raw_data_Wang2023!S:S,Data!E116,raw_data_Wang2023!R:R,B116)</f>
        <v>2300</v>
      </c>
      <c r="I116" s="22" t="s">
        <v>234</v>
      </c>
      <c r="J116" s="22" t="s">
        <v>235</v>
      </c>
      <c r="K116" s="22" t="s">
        <v>35</v>
      </c>
      <c r="L116" s="22" t="str">
        <f t="shared" si="0"/>
        <v>CSP trough</v>
      </c>
      <c r="M116" s="72" t="str">
        <f>CONCATENATE("13;",ROUND(_xlfn.MINIFS(raw_data_Wang2023!T:T,raw_data_Wang2023!S:S,Data!E149,raw_data_Wang2023!R:R,B116)/H116,2),"*value;",ROUND(_xlfn.MAXIFS(raw_data_Wang2023!T:T,raw_data_Wang2023!S:S,Data!E149,raw_data_Wang2023!R:R,B116)/H116,2),"*value")</f>
        <v>13;31,3*value;108,7*value</v>
      </c>
      <c r="N116" s="22" t="s">
        <v>238</v>
      </c>
      <c r="O116" t="s">
        <v>236</v>
      </c>
    </row>
    <row r="117" spans="1:15" ht="15.5">
      <c r="A117" s="116" t="s">
        <v>1090</v>
      </c>
      <c r="B117" s="22" t="s">
        <v>167</v>
      </c>
      <c r="C117" s="22" t="s">
        <v>122</v>
      </c>
      <c r="E117" s="82" t="s">
        <v>249</v>
      </c>
      <c r="F117" s="22" t="s">
        <v>35</v>
      </c>
      <c r="G117" s="22" t="s">
        <v>125</v>
      </c>
      <c r="H117" s="120">
        <f>AVERAGEIFS(raw_data_Wang2023!T:T,raw_data_Wang2023!S:S,Data!E117,raw_data_Wang2023!R:R,B117)</f>
        <v>3850</v>
      </c>
      <c r="I117" s="22" t="s">
        <v>234</v>
      </c>
      <c r="J117" s="22" t="s">
        <v>235</v>
      </c>
      <c r="K117" s="22" t="s">
        <v>35</v>
      </c>
      <c r="L117" s="22" t="str">
        <f t="shared" si="0"/>
        <v>CSP trough</v>
      </c>
      <c r="M117" s="72" t="str">
        <f>CONCATENATE("13;",ROUND(_xlfn.MINIFS(raw_data_Wang2023!T:T,raw_data_Wang2023!S:S,Data!E150,raw_data_Wang2023!R:R,B117)/H117,2),"*value;",ROUND(_xlfn.MAXIFS(raw_data_Wang2023!T:T,raw_data_Wang2023!S:S,Data!E150,raw_data_Wang2023!R:R,B117)/H117,2),"*value")</f>
        <v>13;62,34*value;103,9*value</v>
      </c>
      <c r="N117" s="22" t="s">
        <v>238</v>
      </c>
      <c r="O117" t="s">
        <v>236</v>
      </c>
    </row>
    <row r="118" spans="1:15" ht="15.5">
      <c r="A118" s="116" t="s">
        <v>1090</v>
      </c>
      <c r="B118" s="22" t="s">
        <v>167</v>
      </c>
      <c r="C118" s="22" t="s">
        <v>122</v>
      </c>
      <c r="E118" s="82" t="s">
        <v>250</v>
      </c>
      <c r="F118" s="22" t="s">
        <v>35</v>
      </c>
      <c r="G118" s="22" t="s">
        <v>125</v>
      </c>
      <c r="H118" s="120">
        <f>AVERAGEIFS(raw_data_Wang2023!T:T,raw_data_Wang2023!S:S,Data!E118,raw_data_Wang2023!R:R,B118)</f>
        <v>1420</v>
      </c>
      <c r="I118" s="22" t="s">
        <v>234</v>
      </c>
      <c r="J118" s="22" t="s">
        <v>235</v>
      </c>
      <c r="K118" s="22" t="s">
        <v>35</v>
      </c>
      <c r="L118" s="22" t="str">
        <f t="shared" si="0"/>
        <v>CSP trough</v>
      </c>
      <c r="M118" s="72" t="str">
        <f>CONCATENATE("13;",ROUND(_xlfn.MINIFS(raw_data_Wang2023!T:T,raw_data_Wang2023!S:S,Data!E151,raw_data_Wang2023!R:R,B118)/H118,2),"*value;",ROUND(_xlfn.MAXIFS(raw_data_Wang2023!T:T,raw_data_Wang2023!S:S,Data!E151,raw_data_Wang2023!R:R,B118)/H118,2),"*value")</f>
        <v>13;0*value;7,75*value</v>
      </c>
      <c r="N118" s="22" t="s">
        <v>238</v>
      </c>
      <c r="O118" t="s">
        <v>236</v>
      </c>
    </row>
    <row r="119" spans="1:15" ht="15.5">
      <c r="A119" s="116" t="s">
        <v>1090</v>
      </c>
      <c r="B119" s="22" t="s">
        <v>167</v>
      </c>
      <c r="C119" s="22" t="s">
        <v>122</v>
      </c>
      <c r="E119" s="82" t="s">
        <v>239</v>
      </c>
      <c r="F119" s="22" t="s">
        <v>35</v>
      </c>
      <c r="G119" s="22" t="s">
        <v>125</v>
      </c>
      <c r="H119" s="120">
        <f>AVERAGEIFS(raw_data_Wang2023!T:T,raw_data_Wang2023!S:S,Data!E119,raw_data_Wang2023!R:R,B119)</f>
        <v>320000</v>
      </c>
      <c r="I119" s="22" t="s">
        <v>234</v>
      </c>
      <c r="J119" s="22" t="s">
        <v>235</v>
      </c>
      <c r="K119" s="22" t="s">
        <v>35</v>
      </c>
      <c r="L119" s="22" t="str">
        <f t="shared" si="0"/>
        <v>CSP trough</v>
      </c>
      <c r="M119" s="72" t="str">
        <f>CONCATENATE("13;",ROUND(_xlfn.MINIFS(raw_data_Wang2023!T:T,raw_data_Wang2023!S:S,Data!E152,raw_data_Wang2023!R:R,B119)/H119,2),"*value;",ROUND(_xlfn.MAXIFS(raw_data_Wang2023!T:T,raw_data_Wang2023!S:S,Data!E152,raw_data_Wang2023!R:R,B119)/H119,2),"*value")</f>
        <v>13;0*value;0,01*value</v>
      </c>
      <c r="N119" s="22" t="s">
        <v>238</v>
      </c>
      <c r="O119" t="s">
        <v>236</v>
      </c>
    </row>
    <row r="120" spans="1:15">
      <c r="A120" s="116" t="s">
        <v>1090</v>
      </c>
      <c r="B120" s="22" t="s">
        <v>167</v>
      </c>
      <c r="C120" s="22" t="s">
        <v>122</v>
      </c>
      <c r="E120" s="84" t="s">
        <v>246</v>
      </c>
      <c r="F120" s="22" t="s">
        <v>35</v>
      </c>
      <c r="G120" s="22" t="s">
        <v>125</v>
      </c>
      <c r="H120" s="120">
        <f>AVERAGEIFS(raw_data_Wang2023!T:T,raw_data_Wang2023!S:S,Data!E120,raw_data_Wang2023!R:R,B120)</f>
        <v>120000</v>
      </c>
      <c r="I120" s="22" t="s">
        <v>234</v>
      </c>
      <c r="J120" s="22" t="s">
        <v>235</v>
      </c>
      <c r="K120" s="22" t="s">
        <v>35</v>
      </c>
      <c r="L120" s="22" t="str">
        <f t="shared" si="0"/>
        <v>CSP trough</v>
      </c>
      <c r="M120" s="72" t="str">
        <f>CONCATENATE("13;",ROUND(_xlfn.MINIFS(raw_data_Wang2023!T:T,raw_data_Wang2023!S:S,Data!E153,raw_data_Wang2023!R:R,B120)/H120,2),"*value;",ROUND(_xlfn.MAXIFS(raw_data_Wang2023!T:T,raw_data_Wang2023!S:S,Data!E153,raw_data_Wang2023!R:R,B120)/H120,2),"*value")</f>
        <v>13;0,6*value;2,08*value</v>
      </c>
      <c r="N120" s="22" t="s">
        <v>238</v>
      </c>
      <c r="O120" t="s">
        <v>236</v>
      </c>
    </row>
    <row r="121" spans="1:15">
      <c r="A121" s="116" t="s">
        <v>1090</v>
      </c>
      <c r="B121" s="22" t="s">
        <v>142</v>
      </c>
      <c r="C121" s="22" t="s">
        <v>122</v>
      </c>
      <c r="E121" s="71" t="s">
        <v>233</v>
      </c>
      <c r="F121" s="22" t="s">
        <v>35</v>
      </c>
      <c r="G121" s="22" t="s">
        <v>125</v>
      </c>
      <c r="H121" s="120">
        <f>AVERAGEIFS(raw_data_Wang2023!T:T,raw_data_Wang2023!S:S,Data!E121,raw_data_Wang2023!R:R,B121)</f>
        <v>393824.625</v>
      </c>
      <c r="I121" s="22" t="s">
        <v>234</v>
      </c>
      <c r="J121" s="22" t="s">
        <v>235</v>
      </c>
      <c r="K121" s="22" t="s">
        <v>35</v>
      </c>
      <c r="M121" s="72" t="str">
        <f>CONCATENATE("13;",ROUND(_xlfn.MINIFS(raw_data_Wang2023!T:T,raw_data_Wang2023!S:S,Data!E155,raw_data_Wang2023!R:R,B121)/H121,2),"*value;",ROUND(_xlfn.MAXIFS(raw_data_Wang2023!T:T,raw_data_Wang2023!S:S,Data!E155,raw_data_Wang2023!R:R,B121)/H121,2),"*value")</f>
        <v>13;0*value;0,11*value</v>
      </c>
      <c r="N121" s="22" t="s">
        <v>238</v>
      </c>
      <c r="O121" t="s">
        <v>236</v>
      </c>
    </row>
    <row r="122" spans="1:15">
      <c r="A122" s="116" t="s">
        <v>1090</v>
      </c>
      <c r="B122" s="22" t="s">
        <v>142</v>
      </c>
      <c r="C122" s="22" t="s">
        <v>122</v>
      </c>
      <c r="E122" s="71" t="s">
        <v>239</v>
      </c>
      <c r="F122" s="22" t="s">
        <v>35</v>
      </c>
      <c r="G122" s="22" t="s">
        <v>125</v>
      </c>
      <c r="H122" s="120">
        <f>AVERAGEIFS(raw_data_Wang2023!T:T,raw_data_Wang2023!S:S,Data!E122,raw_data_Wang2023!R:R,B122)</f>
        <v>544709</v>
      </c>
      <c r="I122" s="22" t="s">
        <v>234</v>
      </c>
      <c r="J122" s="22" t="s">
        <v>235</v>
      </c>
      <c r="K122" s="22" t="s">
        <v>35</v>
      </c>
      <c r="M122" s="72" t="str">
        <f>CONCATENATE("13;",ROUND(_xlfn.MINIFS(raw_data_Wang2023!T:T,raw_data_Wang2023!S:S,Data!E156,raw_data_Wang2023!R:R,B122)/H122,2),"*value;",ROUND(_xlfn.MAXIFS(raw_data_Wang2023!T:T,raw_data_Wang2023!S:S,Data!E156,raw_data_Wang2023!R:R,B122)/H122,2),"*value")</f>
        <v>13;0*value;0,03*value</v>
      </c>
      <c r="N122" s="22" t="s">
        <v>238</v>
      </c>
      <c r="O122" t="s">
        <v>236</v>
      </c>
    </row>
    <row r="123" spans="1:15">
      <c r="A123" s="116" t="s">
        <v>1090</v>
      </c>
      <c r="B123" s="22" t="s">
        <v>142</v>
      </c>
      <c r="C123" s="22" t="s">
        <v>122</v>
      </c>
      <c r="E123" s="71" t="s">
        <v>241</v>
      </c>
      <c r="F123" s="22" t="s">
        <v>35</v>
      </c>
      <c r="G123" s="22" t="s">
        <v>125</v>
      </c>
      <c r="H123" s="120">
        <f>AVERAGEIFS(raw_data_Wang2023!T:T,raw_data_Wang2023!S:S,Data!E123,raw_data_Wang2023!R:R,B123)</f>
        <v>16165.857142857143</v>
      </c>
      <c r="I123" s="22" t="s">
        <v>234</v>
      </c>
      <c r="J123" s="22" t="s">
        <v>235</v>
      </c>
      <c r="K123" s="22" t="s">
        <v>35</v>
      </c>
      <c r="M123" s="72" t="str">
        <f>CONCATENATE("13;",ROUND(_xlfn.MINIFS(raw_data_Wang2023!T:T,raw_data_Wang2023!S:S,Data!E157,raw_data_Wang2023!R:R,B123)/H123,2),"*value;",ROUND(_xlfn.MAXIFS(raw_data_Wang2023!T:T,raw_data_Wang2023!S:S,Data!E157,raw_data_Wang2023!R:R,B123)/H123,2),"*value")</f>
        <v>13;0*value;0*value</v>
      </c>
      <c r="N123" s="22" t="s">
        <v>238</v>
      </c>
      <c r="O123" t="s">
        <v>236</v>
      </c>
    </row>
    <row r="124" spans="1:15">
      <c r="A124" s="116" t="s">
        <v>1090</v>
      </c>
      <c r="B124" s="22" t="s">
        <v>142</v>
      </c>
      <c r="C124" s="22" t="s">
        <v>122</v>
      </c>
      <c r="E124" s="71" t="s">
        <v>240</v>
      </c>
      <c r="F124" s="22" t="s">
        <v>35</v>
      </c>
      <c r="G124" s="22" t="s">
        <v>125</v>
      </c>
      <c r="H124" s="120">
        <f>AVERAGEIFS(raw_data_Wang2023!T:T,raw_data_Wang2023!S:S,Data!E124,raw_data_Wang2023!R:R,B124)</f>
        <v>7333.333333333333</v>
      </c>
      <c r="I124" s="22" t="s">
        <v>234</v>
      </c>
      <c r="J124" s="22" t="s">
        <v>235</v>
      </c>
      <c r="K124" s="22" t="s">
        <v>35</v>
      </c>
      <c r="M124" s="72" t="str">
        <f>CONCATENATE("13;",ROUND(_xlfn.MINIFS(raw_data_Wang2023!T:T,raw_data_Wang2023!S:S,Data!E158,raw_data_Wang2023!R:R,B124)/H124,2),"*value;",ROUND(_xlfn.MAXIFS(raw_data_Wang2023!T:T,raw_data_Wang2023!S:S,Data!E158,raw_data_Wang2023!R:R,B124)/H124,2),"*value")</f>
        <v>13;0*value;0*value</v>
      </c>
      <c r="N124" s="22" t="s">
        <v>238</v>
      </c>
      <c r="O124" t="s">
        <v>236</v>
      </c>
    </row>
    <row r="125" spans="1:15">
      <c r="A125" s="116" t="s">
        <v>1090</v>
      </c>
      <c r="B125" s="22" t="s">
        <v>251</v>
      </c>
      <c r="C125" s="22" t="s">
        <v>122</v>
      </c>
      <c r="E125" s="71" t="s">
        <v>233</v>
      </c>
      <c r="F125" s="22" t="s">
        <v>35</v>
      </c>
      <c r="G125" s="22" t="s">
        <v>125</v>
      </c>
      <c r="H125" s="120">
        <f>AVERAGEIFS(raw_data_Wang2023!T:T,raw_data_Wang2023!S:S,Data!E125,raw_data_Wang2023!R:R,B125)</f>
        <v>1007209.75</v>
      </c>
      <c r="I125" s="22" t="s">
        <v>234</v>
      </c>
      <c r="J125" s="22" t="s">
        <v>235</v>
      </c>
      <c r="K125" s="22" t="s">
        <v>35</v>
      </c>
      <c r="M125" s="72" t="str">
        <f>CONCATENATE("13;",ROUND(_xlfn.MINIFS(raw_data_Wang2023!T:T,raw_data_Wang2023!S:S,Data!E160,raw_data_Wang2023!R:R,B125)/H125,2),"*value;",ROUND(_xlfn.MAXIFS(raw_data_Wang2023!T:T,raw_data_Wang2023!S:S,Data!E160,raw_data_Wang2023!R:R,B125)/H125,2),"*value")</f>
        <v>13;0*value;0*value</v>
      </c>
      <c r="N125" s="22" t="s">
        <v>238</v>
      </c>
      <c r="O125" t="s">
        <v>236</v>
      </c>
    </row>
    <row r="126" spans="1:15">
      <c r="A126" s="116" t="s">
        <v>1090</v>
      </c>
      <c r="B126" s="22" t="s">
        <v>251</v>
      </c>
      <c r="C126" s="22" t="s">
        <v>122</v>
      </c>
      <c r="E126" s="71" t="s">
        <v>239</v>
      </c>
      <c r="F126" s="22" t="s">
        <v>35</v>
      </c>
      <c r="G126" s="22" t="s">
        <v>125</v>
      </c>
      <c r="H126" s="120">
        <f>AVERAGEIFS(raw_data_Wang2023!T:T,raw_data_Wang2023!S:S,Data!E126,raw_data_Wang2023!R:R,B126)</f>
        <v>83575</v>
      </c>
      <c r="I126" s="22" t="s">
        <v>234</v>
      </c>
      <c r="J126" s="22" t="s">
        <v>235</v>
      </c>
      <c r="K126" s="22" t="s">
        <v>35</v>
      </c>
      <c r="M126" s="72" t="str">
        <f>CONCATENATE("13;",ROUND(_xlfn.MINIFS(raw_data_Wang2023!T:T,raw_data_Wang2023!S:S,Data!E161,raw_data_Wang2023!R:R,B126)/H126,2),"*value;",ROUND(_xlfn.MAXIFS(raw_data_Wang2023!T:T,raw_data_Wang2023!S:S,Data!E161,raw_data_Wang2023!R:R,B126)/H126,2),"*value")</f>
        <v>13;0*value;0*value</v>
      </c>
      <c r="N126" s="22" t="s">
        <v>238</v>
      </c>
      <c r="O126" t="s">
        <v>236</v>
      </c>
    </row>
    <row r="127" spans="1:15">
      <c r="A127" s="116" t="s">
        <v>1090</v>
      </c>
      <c r="B127" s="22" t="s">
        <v>251</v>
      </c>
      <c r="C127" s="22" t="s">
        <v>122</v>
      </c>
      <c r="E127" s="71" t="s">
        <v>241</v>
      </c>
      <c r="F127" s="22" t="s">
        <v>35</v>
      </c>
      <c r="G127" s="22" t="s">
        <v>125</v>
      </c>
      <c r="H127" s="120">
        <f>AVERAGEIFS(raw_data_Wang2023!T:T,raw_data_Wang2023!S:S,Data!E127,raw_data_Wang2023!R:R,B127)</f>
        <v>52</v>
      </c>
      <c r="I127" s="22" t="s">
        <v>234</v>
      </c>
      <c r="J127" s="22" t="s">
        <v>235</v>
      </c>
      <c r="K127" s="22" t="s">
        <v>35</v>
      </c>
      <c r="M127" s="72" t="str">
        <f>CONCATENATE("13;",ROUND(_xlfn.MINIFS(raw_data_Wang2023!T:T,raw_data_Wang2023!S:S,Data!E162,raw_data_Wang2023!R:R,B127)/H127,2),"*value;",ROUND(_xlfn.MAXIFS(raw_data_Wang2023!T:T,raw_data_Wang2023!S:S,Data!E162,raw_data_Wang2023!R:R,B127)/H127,2),"*value")</f>
        <v>13;0*value;0*value</v>
      </c>
      <c r="N127" s="22" t="s">
        <v>238</v>
      </c>
      <c r="O127" t="s">
        <v>236</v>
      </c>
    </row>
    <row r="128" spans="1:15">
      <c r="A128" s="116" t="s">
        <v>1090</v>
      </c>
      <c r="B128" s="22" t="s">
        <v>251</v>
      </c>
      <c r="C128" s="22" t="s">
        <v>122</v>
      </c>
      <c r="E128" s="71" t="s">
        <v>240</v>
      </c>
      <c r="F128" s="22" t="s">
        <v>35</v>
      </c>
      <c r="G128" s="22" t="s">
        <v>125</v>
      </c>
      <c r="H128" s="120">
        <f>AVERAGEIFS(raw_data_Wang2023!T:T,raw_data_Wang2023!S:S,Data!E128,raw_data_Wang2023!R:R,B128)</f>
        <v>2123</v>
      </c>
      <c r="I128" s="22" t="s">
        <v>234</v>
      </c>
      <c r="J128" s="22" t="s">
        <v>235</v>
      </c>
      <c r="K128" s="22" t="s">
        <v>35</v>
      </c>
      <c r="M128" s="72" t="str">
        <f>CONCATENATE("13;",ROUND(_xlfn.MINIFS(raw_data_Wang2023!T:T,raw_data_Wang2023!S:S,Data!E163,raw_data_Wang2023!R:R,B128)/H128,2),"*value;",ROUND(_xlfn.MAXIFS(raw_data_Wang2023!T:T,raw_data_Wang2023!S:S,Data!E163,raw_data_Wang2023!R:R,B128)/H128,2),"*value")</f>
        <v>13;0*value;0*value</v>
      </c>
      <c r="N128" s="22" t="s">
        <v>238</v>
      </c>
      <c r="O128" t="s">
        <v>236</v>
      </c>
    </row>
    <row r="129" spans="1:15">
      <c r="A129" s="116" t="s">
        <v>1090</v>
      </c>
      <c r="B129" s="22" t="s">
        <v>195</v>
      </c>
      <c r="C129" s="22" t="s">
        <v>122</v>
      </c>
      <c r="E129" s="71" t="s">
        <v>233</v>
      </c>
      <c r="F129" s="22" t="s">
        <v>35</v>
      </c>
      <c r="G129" s="22" t="s">
        <v>125</v>
      </c>
      <c r="H129" s="120">
        <f>AVERAGEIFS(raw_data_Wang2023!T:T,raw_data_Wang2023!S:S,Data!E129,raw_data_Wang2023!R:R,B129)</f>
        <v>36852.888888888891</v>
      </c>
      <c r="I129" s="22" t="s">
        <v>234</v>
      </c>
      <c r="J129" s="22" t="s">
        <v>235</v>
      </c>
      <c r="K129" s="22" t="s">
        <v>35</v>
      </c>
      <c r="M129" s="72" t="str">
        <f>CONCATENATE("13;",ROUND(_xlfn.MINIFS(raw_data_Wang2023!T:T,raw_data_Wang2023!S:S,Data!#REF!,raw_data_Wang2023!R:R,B129)/H129,2),"*value;",ROUND(_xlfn.MAXIFS(raw_data_Wang2023!T:T,raw_data_Wang2023!S:S,Data!#REF!,raw_data_Wang2023!R:R,B129)/H129,2),"*value")</f>
        <v>13;0*value;0*value</v>
      </c>
      <c r="N129" s="22" t="s">
        <v>238</v>
      </c>
      <c r="O129" t="s">
        <v>236</v>
      </c>
    </row>
    <row r="130" spans="1:15">
      <c r="A130" s="116" t="s">
        <v>1090</v>
      </c>
      <c r="B130" s="22" t="s">
        <v>195</v>
      </c>
      <c r="C130" s="22" t="s">
        <v>122</v>
      </c>
      <c r="E130" s="71" t="s">
        <v>239</v>
      </c>
      <c r="F130" s="22" t="s">
        <v>35</v>
      </c>
      <c r="G130" s="22" t="s">
        <v>125</v>
      </c>
      <c r="H130" s="120">
        <f>AVERAGEIFS(raw_data_Wang2023!T:T,raw_data_Wang2023!S:S,Data!E130,raw_data_Wang2023!R:R,B130)</f>
        <v>31983.666666666668</v>
      </c>
      <c r="I130" s="22" t="s">
        <v>234</v>
      </c>
      <c r="J130" s="22" t="s">
        <v>235</v>
      </c>
      <c r="K130" s="22" t="s">
        <v>35</v>
      </c>
      <c r="M130" s="72" t="str">
        <f>CONCATENATE("13;",ROUND(_xlfn.MINIFS(raw_data_Wang2023!T:T,raw_data_Wang2023!S:S,Data!#REF!,raw_data_Wang2023!R:R,B130)/H130,2),"*value;",ROUND(_xlfn.MAXIFS(raw_data_Wang2023!T:T,raw_data_Wang2023!S:S,Data!#REF!,raw_data_Wang2023!R:R,B130)/H130,2),"*value")</f>
        <v>13;0*value;0*value</v>
      </c>
      <c r="N130" s="22" t="s">
        <v>238</v>
      </c>
      <c r="O130" t="s">
        <v>236</v>
      </c>
    </row>
    <row r="131" spans="1:15">
      <c r="A131" s="116" t="s">
        <v>1090</v>
      </c>
      <c r="B131" s="22" t="s">
        <v>195</v>
      </c>
      <c r="C131" s="22" t="s">
        <v>122</v>
      </c>
      <c r="E131" s="71" t="s">
        <v>241</v>
      </c>
      <c r="F131" s="22" t="s">
        <v>35</v>
      </c>
      <c r="G131" s="22" t="s">
        <v>125</v>
      </c>
      <c r="H131" s="120">
        <f>AVERAGEIFS(raw_data_Wang2023!T:T,raw_data_Wang2023!S:S,Data!E131,raw_data_Wang2023!R:R,B131)</f>
        <v>37.5</v>
      </c>
      <c r="I131" s="22" t="s">
        <v>234</v>
      </c>
      <c r="J131" s="22" t="s">
        <v>235</v>
      </c>
      <c r="K131" s="22" t="s">
        <v>35</v>
      </c>
      <c r="M131" s="72" t="str">
        <f>CONCATENATE("13;",ROUND(_xlfn.MINIFS(raw_data_Wang2023!T:T,raw_data_Wang2023!S:S,Data!#REF!,raw_data_Wang2023!R:R,B131)/H131,2),"*value;",ROUND(_xlfn.MAXIFS(raw_data_Wang2023!T:T,raw_data_Wang2023!S:S,Data!#REF!,raw_data_Wang2023!R:R,B131)/H131,2),"*value")</f>
        <v>13;0*value;0*value</v>
      </c>
      <c r="N131" s="22" t="s">
        <v>238</v>
      </c>
      <c r="O131" t="s">
        <v>236</v>
      </c>
    </row>
    <row r="132" spans="1:15">
      <c r="A132" s="116" t="s">
        <v>1090</v>
      </c>
      <c r="B132" s="22" t="s">
        <v>195</v>
      </c>
      <c r="C132" s="22" t="s">
        <v>122</v>
      </c>
      <c r="E132" s="71" t="s">
        <v>240</v>
      </c>
      <c r="F132" s="22" t="s">
        <v>35</v>
      </c>
      <c r="G132" s="22" t="s">
        <v>125</v>
      </c>
      <c r="H132" s="120">
        <f>AVERAGEIFS(raw_data_Wang2023!T:T,raw_data_Wang2023!S:S,Data!E132,raw_data_Wang2023!R:R,B132)</f>
        <v>1291.8</v>
      </c>
      <c r="I132" s="22" t="s">
        <v>234</v>
      </c>
      <c r="J132" s="22" t="s">
        <v>235</v>
      </c>
      <c r="K132" s="22" t="s">
        <v>35</v>
      </c>
      <c r="M132" s="72" t="str">
        <f>CONCATENATE("13;",ROUND(_xlfn.MINIFS(raw_data_Wang2023!T:T,raw_data_Wang2023!S:S,Data!#REF!,raw_data_Wang2023!R:R,B132)/H132,2),"*value;",ROUND(_xlfn.MAXIFS(raw_data_Wang2023!T:T,raw_data_Wang2023!S:S,Data!#REF!,raw_data_Wang2023!R:R,B132)/H132,2),"*value")</f>
        <v>13;0*value;0*value</v>
      </c>
      <c r="N132" s="22" t="s">
        <v>238</v>
      </c>
      <c r="O132" t="s">
        <v>236</v>
      </c>
    </row>
    <row r="133" spans="1:15">
      <c r="A133" s="116" t="s">
        <v>1090</v>
      </c>
      <c r="B133" s="22" t="s">
        <v>179</v>
      </c>
      <c r="C133" s="22" t="s">
        <v>122</v>
      </c>
      <c r="E133" s="71" t="s">
        <v>233</v>
      </c>
      <c r="F133" s="22" t="s">
        <v>35</v>
      </c>
      <c r="G133" s="22" t="s">
        <v>125</v>
      </c>
      <c r="H133" s="120">
        <f>AVERAGEIFS(raw_data_Wang2023!T:T,raw_data_Wang2023!S:S,Data!E133,raw_data_Wang2023!R:R,B133)</f>
        <v>14525</v>
      </c>
      <c r="I133" s="22" t="s">
        <v>234</v>
      </c>
      <c r="J133" s="22" t="s">
        <v>235</v>
      </c>
      <c r="K133" s="22" t="s">
        <v>35</v>
      </c>
      <c r="M133" s="72" t="str">
        <f>CONCATENATE("13;",ROUND(_xlfn.MINIFS(raw_data_Wang2023!T:T,raw_data_Wang2023!S:S,Data!#REF!,raw_data_Wang2023!R:R,B133)/H133,2),"*value;",ROUND(_xlfn.MAXIFS(raw_data_Wang2023!T:T,raw_data_Wang2023!S:S,Data!#REF!,raw_data_Wang2023!R:R,B133)/H133,2),"*value")</f>
        <v>13;0*value;0*value</v>
      </c>
      <c r="N133" s="22" t="s">
        <v>238</v>
      </c>
      <c r="O133" t="s">
        <v>236</v>
      </c>
    </row>
    <row r="134" spans="1:15">
      <c r="A134" s="116" t="s">
        <v>1090</v>
      </c>
      <c r="B134" s="22" t="s">
        <v>179</v>
      </c>
      <c r="C134" s="22" t="s">
        <v>122</v>
      </c>
      <c r="E134" s="71" t="s">
        <v>239</v>
      </c>
      <c r="F134" s="22" t="s">
        <v>35</v>
      </c>
      <c r="G134" s="22" t="s">
        <v>125</v>
      </c>
      <c r="H134" s="120">
        <f>AVERAGEIFS(raw_data_Wang2023!T:T,raw_data_Wang2023!S:S,Data!E134,raw_data_Wang2023!R:R,B134)</f>
        <v>52655</v>
      </c>
      <c r="I134" s="22" t="s">
        <v>234</v>
      </c>
      <c r="J134" s="22" t="s">
        <v>235</v>
      </c>
      <c r="K134" s="22" t="s">
        <v>35</v>
      </c>
      <c r="M134" s="72" t="str">
        <f>CONCATENATE("13;",ROUND(_xlfn.MINIFS(raw_data_Wang2023!T:T,raw_data_Wang2023!S:S,Data!#REF!,raw_data_Wang2023!R:R,B134)/H134,2),"*value;",ROUND(_xlfn.MAXIFS(raw_data_Wang2023!T:T,raw_data_Wang2023!S:S,Data!#REF!,raw_data_Wang2023!R:R,B134)/H134,2),"*value")</f>
        <v>13;0*value;0*value</v>
      </c>
      <c r="N134" s="22" t="s">
        <v>238</v>
      </c>
      <c r="O134" t="s">
        <v>236</v>
      </c>
    </row>
    <row r="135" spans="1:15">
      <c r="A135" s="116" t="s">
        <v>1090</v>
      </c>
      <c r="B135" s="22" t="s">
        <v>179</v>
      </c>
      <c r="C135" s="22" t="s">
        <v>122</v>
      </c>
      <c r="E135" s="71" t="s">
        <v>241</v>
      </c>
      <c r="F135" s="22" t="s">
        <v>35</v>
      </c>
      <c r="G135" s="22" t="s">
        <v>125</v>
      </c>
      <c r="H135" s="120">
        <f>AVERAGEIFS(raw_data_Wang2023!T:T,raw_data_Wang2023!S:S,Data!E135,raw_data_Wang2023!R:R,B135)</f>
        <v>394.75</v>
      </c>
      <c r="I135" s="22" t="s">
        <v>234</v>
      </c>
      <c r="J135" s="22" t="s">
        <v>235</v>
      </c>
      <c r="K135" s="22" t="s">
        <v>35</v>
      </c>
      <c r="M135" s="72" t="str">
        <f>CONCATENATE("13;",ROUND(_xlfn.MINIFS(raw_data_Wang2023!T:T,raw_data_Wang2023!S:S,Data!#REF!,raw_data_Wang2023!R:R,B135)/H135,2),"*value;",ROUND(_xlfn.MAXIFS(raw_data_Wang2023!T:T,raw_data_Wang2023!S:S,Data!#REF!,raw_data_Wang2023!R:R,B135)/H135,2),"*value")</f>
        <v>13;0*value;0*value</v>
      </c>
      <c r="N135" s="22" t="s">
        <v>238</v>
      </c>
      <c r="O135" t="s">
        <v>236</v>
      </c>
    </row>
    <row r="136" spans="1:15">
      <c r="A136" s="116" t="s">
        <v>1090</v>
      </c>
      <c r="B136" s="22" t="s">
        <v>179</v>
      </c>
      <c r="C136" s="22" t="s">
        <v>122</v>
      </c>
      <c r="E136" s="71" t="s">
        <v>240</v>
      </c>
      <c r="F136" s="22" t="s">
        <v>35</v>
      </c>
      <c r="G136" s="22" t="s">
        <v>125</v>
      </c>
      <c r="H136" s="120">
        <f>AVERAGEIFS(raw_data_Wang2023!T:T,raw_data_Wang2023!S:S,Data!E136,raw_data_Wang2023!R:R,B136)</f>
        <v>490.75</v>
      </c>
      <c r="I136" s="22" t="s">
        <v>234</v>
      </c>
      <c r="J136" s="22" t="s">
        <v>235</v>
      </c>
      <c r="K136" s="22" t="s">
        <v>35</v>
      </c>
      <c r="M136" s="72" t="str">
        <f>CONCATENATE("13;",ROUND(_xlfn.MINIFS(raw_data_Wang2023!T:T,raw_data_Wang2023!S:S,Data!#REF!,raw_data_Wang2023!R:R,B136)/H136,2),"*value;",ROUND(_xlfn.MAXIFS(raw_data_Wang2023!T:T,raw_data_Wang2023!S:S,Data!#REF!,raw_data_Wang2023!R:R,B136)/H136,2),"*value")</f>
        <v>13;0*value;0*value</v>
      </c>
      <c r="N136" s="22" t="s">
        <v>238</v>
      </c>
      <c r="O136" t="s">
        <v>236</v>
      </c>
    </row>
    <row r="137" spans="1:15">
      <c r="A137" s="116" t="s">
        <v>1090</v>
      </c>
      <c r="B137" s="22" t="s">
        <v>252</v>
      </c>
      <c r="C137" s="22" t="s">
        <v>122</v>
      </c>
      <c r="E137" s="71" t="s">
        <v>233</v>
      </c>
      <c r="F137" s="22" t="s">
        <v>35</v>
      </c>
      <c r="G137" s="22" t="s">
        <v>125</v>
      </c>
      <c r="H137" s="120">
        <f>AVERAGEIFS(raw_data_Wang2023!T:T,raw_data_Wang2023!S:S,Data!E137,raw_data_Wang2023!R:R,B137)</f>
        <v>20696.5</v>
      </c>
      <c r="I137" s="22" t="s">
        <v>234</v>
      </c>
      <c r="J137" s="22" t="s">
        <v>235</v>
      </c>
      <c r="K137" s="22" t="s">
        <v>35</v>
      </c>
      <c r="M137" s="72" t="str">
        <f>CONCATENATE("13;",ROUND(_xlfn.MINIFS(raw_data_Wang2023!T:T,raw_data_Wang2023!S:S,Data!#REF!,raw_data_Wang2023!R:R,B137)/H137,2),"*value;",ROUND(_xlfn.MAXIFS(raw_data_Wang2023!T:T,raw_data_Wang2023!S:S,Data!#REF!,raw_data_Wang2023!R:R,B137)/H137,2),"*value")</f>
        <v>13;0*value;0*value</v>
      </c>
      <c r="N137" s="22" t="s">
        <v>238</v>
      </c>
      <c r="O137" t="s">
        <v>236</v>
      </c>
    </row>
    <row r="138" spans="1:15">
      <c r="A138" s="116" t="s">
        <v>1090</v>
      </c>
      <c r="B138" s="22" t="s">
        <v>252</v>
      </c>
      <c r="C138" s="22" t="s">
        <v>122</v>
      </c>
      <c r="E138" s="71" t="s">
        <v>239</v>
      </c>
      <c r="F138" s="22" t="s">
        <v>35</v>
      </c>
      <c r="G138" s="22" t="s">
        <v>125</v>
      </c>
      <c r="H138" s="120">
        <f>AVERAGEIFS(raw_data_Wang2023!T:T,raw_data_Wang2023!S:S,Data!E138,raw_data_Wang2023!R:R,B138)</f>
        <v>75764.75</v>
      </c>
      <c r="I138" s="22" t="s">
        <v>234</v>
      </c>
      <c r="J138" s="22" t="s">
        <v>235</v>
      </c>
      <c r="K138" s="22" t="s">
        <v>35</v>
      </c>
      <c r="M138" s="72" t="str">
        <f>CONCATENATE("13;",ROUND(_xlfn.MINIFS(raw_data_Wang2023!T:T,raw_data_Wang2023!S:S,Data!#REF!,raw_data_Wang2023!R:R,B138)/H138,2),"*value;",ROUND(_xlfn.MAXIFS(raw_data_Wang2023!T:T,raw_data_Wang2023!S:S,Data!#REF!,raw_data_Wang2023!R:R,B138)/H138,2),"*value")</f>
        <v>13;0*value;0*value</v>
      </c>
      <c r="N138" s="22" t="s">
        <v>238</v>
      </c>
      <c r="O138" t="s">
        <v>236</v>
      </c>
    </row>
    <row r="139" spans="1:15">
      <c r="A139" s="116" t="s">
        <v>1090</v>
      </c>
      <c r="B139" s="22" t="s">
        <v>252</v>
      </c>
      <c r="C139" s="22" t="s">
        <v>122</v>
      </c>
      <c r="E139" s="71" t="s">
        <v>241</v>
      </c>
      <c r="F139" s="22" t="s">
        <v>35</v>
      </c>
      <c r="G139" s="22" t="s">
        <v>125</v>
      </c>
      <c r="H139" s="120">
        <f>AVERAGEIFS(raw_data_Wang2023!T:T,raw_data_Wang2023!S:S,Data!E139,raw_data_Wang2023!R:R,B139)</f>
        <v>394.75</v>
      </c>
      <c r="I139" s="22" t="s">
        <v>234</v>
      </c>
      <c r="J139" s="22" t="s">
        <v>235</v>
      </c>
      <c r="K139" s="22" t="s">
        <v>35</v>
      </c>
      <c r="M139" s="72" t="str">
        <f>CONCATENATE("13;",ROUND(_xlfn.MINIFS(raw_data_Wang2023!T:T,raw_data_Wang2023!S:S,Data!#REF!,raw_data_Wang2023!R:R,B139)/H139,2),"*value;",ROUND(_xlfn.MAXIFS(raw_data_Wang2023!T:T,raw_data_Wang2023!S:S,Data!#REF!,raw_data_Wang2023!R:R,B139)/H139,2),"*value")</f>
        <v>13;0*value;0*value</v>
      </c>
      <c r="N139" s="22" t="s">
        <v>238</v>
      </c>
      <c r="O139" t="s">
        <v>236</v>
      </c>
    </row>
    <row r="140" spans="1:15">
      <c r="A140" s="116" t="s">
        <v>1090</v>
      </c>
      <c r="B140" s="22" t="s">
        <v>252</v>
      </c>
      <c r="C140" s="22" t="s">
        <v>122</v>
      </c>
      <c r="E140" s="71" t="s">
        <v>240</v>
      </c>
      <c r="F140" s="22" t="s">
        <v>35</v>
      </c>
      <c r="G140" s="22" t="s">
        <v>125</v>
      </c>
      <c r="H140" s="120">
        <f>AVERAGEIFS(raw_data_Wang2023!T:T,raw_data_Wang2023!S:S,Data!E140,raw_data_Wang2023!R:R,B140)</f>
        <v>588.75</v>
      </c>
      <c r="I140" s="22" t="s">
        <v>234</v>
      </c>
      <c r="J140" s="22" t="s">
        <v>235</v>
      </c>
      <c r="K140" s="22" t="s">
        <v>35</v>
      </c>
      <c r="M140" s="72" t="str">
        <f>CONCATENATE("13;",ROUND(_xlfn.MINIFS(raw_data_Wang2023!T:T,raw_data_Wang2023!S:S,Data!#REF!,raw_data_Wang2023!R:R,B140)/H140,2),"*value;",ROUND(_xlfn.MAXIFS(raw_data_Wang2023!T:T,raw_data_Wang2023!S:S,Data!#REF!,raw_data_Wang2023!R:R,B140)/H140,2),"*value")</f>
        <v>13;0*value;0*value</v>
      </c>
      <c r="N140" s="22" t="s">
        <v>238</v>
      </c>
      <c r="O140" t="s">
        <v>236</v>
      </c>
    </row>
    <row r="141" spans="1:15">
      <c r="A141" s="116" t="s">
        <v>1090</v>
      </c>
      <c r="B141" s="22" t="s">
        <v>184</v>
      </c>
      <c r="C141" s="22" t="s">
        <v>122</v>
      </c>
      <c r="E141" s="71" t="s">
        <v>233</v>
      </c>
      <c r="F141" s="22" t="s">
        <v>35</v>
      </c>
      <c r="G141" s="22" t="s">
        <v>125</v>
      </c>
      <c r="H141" s="120">
        <f>AVERAGEIFS(raw_data_Wang2023!T:T,raw_data_Wang2023!S:S,Data!E141,raw_data_Wang2023!R:R,B141)</f>
        <v>11118.25</v>
      </c>
      <c r="I141" s="22" t="s">
        <v>234</v>
      </c>
      <c r="J141" s="22" t="s">
        <v>235</v>
      </c>
      <c r="K141" s="22" t="s">
        <v>35</v>
      </c>
      <c r="M141" s="72" t="str">
        <f>CONCATENATE("13;",ROUND(_xlfn.MINIFS(raw_data_Wang2023!T:T,raw_data_Wang2023!S:S,Data!#REF!,raw_data_Wang2023!R:R,B141)/H141,2),"*value;",ROUND(_xlfn.MAXIFS(raw_data_Wang2023!T:T,raw_data_Wang2023!S:S,Data!#REF!,raw_data_Wang2023!R:R,B141)/H141,2),"*value")</f>
        <v>13;0*value;0*value</v>
      </c>
      <c r="N141" s="22" t="s">
        <v>238</v>
      </c>
      <c r="O141" t="s">
        <v>236</v>
      </c>
    </row>
    <row r="142" spans="1:15">
      <c r="A142" s="116" t="s">
        <v>1090</v>
      </c>
      <c r="B142" s="22" t="s">
        <v>184</v>
      </c>
      <c r="C142" s="22" t="s">
        <v>122</v>
      </c>
      <c r="E142" s="71" t="s">
        <v>239</v>
      </c>
      <c r="F142" s="22" t="s">
        <v>35</v>
      </c>
      <c r="G142" s="22" t="s">
        <v>125</v>
      </c>
      <c r="H142" s="120">
        <f>AVERAGEIFS(raw_data_Wang2023!T:T,raw_data_Wang2023!S:S,Data!E142,raw_data_Wang2023!R:R,B142)</f>
        <v>41080</v>
      </c>
      <c r="I142" s="22" t="s">
        <v>234</v>
      </c>
      <c r="J142" s="22" t="s">
        <v>235</v>
      </c>
      <c r="K142" s="22" t="s">
        <v>35</v>
      </c>
      <c r="M142" s="72" t="str">
        <f>CONCATENATE("13;",ROUND(_xlfn.MINIFS(raw_data_Wang2023!T:T,raw_data_Wang2023!S:S,Data!#REF!,raw_data_Wang2023!R:R,B142)/H142,2),"*value;",ROUND(_xlfn.MAXIFS(raw_data_Wang2023!T:T,raw_data_Wang2023!S:S,Data!#REF!,raw_data_Wang2023!R:R,B142)/H142,2),"*value")</f>
        <v>13;0*value;0*value</v>
      </c>
      <c r="N142" s="22" t="s">
        <v>238</v>
      </c>
      <c r="O142" t="s">
        <v>236</v>
      </c>
    </row>
    <row r="143" spans="1:15">
      <c r="A143" s="116" t="s">
        <v>1090</v>
      </c>
      <c r="B143" s="22" t="s">
        <v>184</v>
      </c>
      <c r="C143" s="22" t="s">
        <v>122</v>
      </c>
      <c r="E143" s="71" t="s">
        <v>241</v>
      </c>
      <c r="F143" s="22" t="s">
        <v>35</v>
      </c>
      <c r="G143" s="22" t="s">
        <v>125</v>
      </c>
      <c r="H143" s="120">
        <f>AVERAGEIFS(raw_data_Wang2023!T:T,raw_data_Wang2023!S:S,Data!E143,raw_data_Wang2023!R:R,B143)</f>
        <v>217</v>
      </c>
      <c r="I143" s="22" t="s">
        <v>234</v>
      </c>
      <c r="J143" s="22" t="s">
        <v>235</v>
      </c>
      <c r="K143" s="22" t="s">
        <v>35</v>
      </c>
      <c r="M143" s="72" t="str">
        <f>CONCATENATE("13;",ROUND(_xlfn.MINIFS(raw_data_Wang2023!T:T,raw_data_Wang2023!S:S,Data!#REF!,raw_data_Wang2023!R:R,B143)/H143,2),"*value;",ROUND(_xlfn.MAXIFS(raw_data_Wang2023!T:T,raw_data_Wang2023!S:S,Data!#REF!,raw_data_Wang2023!R:R,B143)/H143,2),"*value")</f>
        <v>13;0*value;0*value</v>
      </c>
      <c r="N143" s="22" t="s">
        <v>238</v>
      </c>
      <c r="O143" t="s">
        <v>236</v>
      </c>
    </row>
    <row r="144" spans="1:15">
      <c r="A144" s="116" t="s">
        <v>1090</v>
      </c>
      <c r="B144" s="22" t="s">
        <v>184</v>
      </c>
      <c r="C144" s="22" t="s">
        <v>122</v>
      </c>
      <c r="E144" s="71" t="s">
        <v>240</v>
      </c>
      <c r="F144" s="22" t="s">
        <v>35</v>
      </c>
      <c r="G144" s="22" t="s">
        <v>125</v>
      </c>
      <c r="H144" s="120">
        <f>AVERAGEIFS(raw_data_Wang2023!T:T,raw_data_Wang2023!S:S,Data!E144,raw_data_Wang2023!R:R,B144)</f>
        <v>490.75</v>
      </c>
      <c r="I144" s="22" t="s">
        <v>234</v>
      </c>
      <c r="J144" s="22" t="s">
        <v>235</v>
      </c>
      <c r="K144" s="22" t="s">
        <v>35</v>
      </c>
      <c r="M144" s="72" t="str">
        <f>CONCATENATE("13;",ROUND(_xlfn.MINIFS(raw_data_Wang2023!T:T,raw_data_Wang2023!S:S,Data!#REF!,raw_data_Wang2023!R:R,B144)/H144,2),"*value;",ROUND(_xlfn.MAXIFS(raw_data_Wang2023!T:T,raw_data_Wang2023!S:S,Data!#REF!,raw_data_Wang2023!R:R,B144)/H144,2),"*value")</f>
        <v>13;0*value;0*value</v>
      </c>
      <c r="N144" s="22" t="s">
        <v>238</v>
      </c>
      <c r="O144" t="s">
        <v>236</v>
      </c>
    </row>
    <row r="145" spans="1:15">
      <c r="A145" s="116" t="s">
        <v>1090</v>
      </c>
      <c r="B145" s="22" t="s">
        <v>253</v>
      </c>
      <c r="C145" s="22" t="s">
        <v>122</v>
      </c>
      <c r="E145" s="71" t="s">
        <v>233</v>
      </c>
      <c r="F145" s="22" t="s">
        <v>35</v>
      </c>
      <c r="G145" s="22" t="s">
        <v>125</v>
      </c>
      <c r="H145" s="120">
        <f>AVERAGEIFS(raw_data_Wang2023!T:T,raw_data_Wang2023!S:S,Data!E145,raw_data_Wang2023!R:R,B145)</f>
        <v>16216.5</v>
      </c>
      <c r="I145" s="22" t="s">
        <v>234</v>
      </c>
      <c r="J145" s="22" t="s">
        <v>235</v>
      </c>
      <c r="K145" s="22" t="s">
        <v>35</v>
      </c>
      <c r="M145" s="72" t="str">
        <f>CONCATENATE("13;",ROUND(_xlfn.MINIFS(raw_data_Wang2023!T:T,raw_data_Wang2023!S:S,Data!#REF!,raw_data_Wang2023!R:R,B145)/H145,2),"*value;",ROUND(_xlfn.MAXIFS(raw_data_Wang2023!T:T,raw_data_Wang2023!S:S,Data!#REF!,raw_data_Wang2023!R:R,B145)/H145,2),"*value")</f>
        <v>13;0*value;0*value</v>
      </c>
      <c r="N145" s="22" t="s">
        <v>238</v>
      </c>
      <c r="O145" t="s">
        <v>236</v>
      </c>
    </row>
    <row r="146" spans="1:15">
      <c r="A146" s="116" t="s">
        <v>1090</v>
      </c>
      <c r="B146" s="22" t="s">
        <v>253</v>
      </c>
      <c r="C146" s="22" t="s">
        <v>122</v>
      </c>
      <c r="E146" s="71" t="s">
        <v>239</v>
      </c>
      <c r="F146" s="22" t="s">
        <v>35</v>
      </c>
      <c r="G146" s="22" t="s">
        <v>125</v>
      </c>
      <c r="H146" s="120">
        <f>AVERAGEIFS(raw_data_Wang2023!T:T,raw_data_Wang2023!S:S,Data!E146,raw_data_Wang2023!R:R,B146)</f>
        <v>62852.5</v>
      </c>
      <c r="I146" s="22" t="s">
        <v>234</v>
      </c>
      <c r="J146" s="22" t="s">
        <v>235</v>
      </c>
      <c r="K146" s="22" t="s">
        <v>35</v>
      </c>
      <c r="M146" s="72" t="str">
        <f>CONCATENATE("13;",ROUND(_xlfn.MINIFS(raw_data_Wang2023!T:T,raw_data_Wang2023!S:S,Data!#REF!,raw_data_Wang2023!R:R,B146)/H146,2),"*value;",ROUND(_xlfn.MAXIFS(raw_data_Wang2023!T:T,raw_data_Wang2023!S:S,Data!#REF!,raw_data_Wang2023!R:R,B146)/H146,2),"*value")</f>
        <v>13;0*value;0*value</v>
      </c>
      <c r="N146" s="22" t="s">
        <v>238</v>
      </c>
      <c r="O146" t="s">
        <v>236</v>
      </c>
    </row>
    <row r="147" spans="1:15">
      <c r="A147" s="116" t="s">
        <v>1090</v>
      </c>
      <c r="B147" s="22" t="s">
        <v>253</v>
      </c>
      <c r="C147" s="22" t="s">
        <v>122</v>
      </c>
      <c r="E147" s="71" t="s">
        <v>241</v>
      </c>
      <c r="F147" s="22" t="s">
        <v>35</v>
      </c>
      <c r="G147" s="22" t="s">
        <v>125</v>
      </c>
      <c r="H147" s="120">
        <f>AVERAGEIFS(raw_data_Wang2023!T:T,raw_data_Wang2023!S:S,Data!E147,raw_data_Wang2023!R:R,B147)</f>
        <v>217</v>
      </c>
      <c r="I147" s="22" t="s">
        <v>234</v>
      </c>
      <c r="J147" s="22" t="s">
        <v>235</v>
      </c>
      <c r="K147" s="22" t="s">
        <v>35</v>
      </c>
      <c r="M147" s="72" t="str">
        <f>CONCATENATE("13;",ROUND(_xlfn.MINIFS(raw_data_Wang2023!T:T,raw_data_Wang2023!S:S,Data!#REF!,raw_data_Wang2023!R:R,B147)/H147,2),"*value;",ROUND(_xlfn.MAXIFS(raw_data_Wang2023!T:T,raw_data_Wang2023!S:S,Data!#REF!,raw_data_Wang2023!R:R,B147)/H147,2),"*value")</f>
        <v>13;0*value;0*value</v>
      </c>
      <c r="N147" s="22" t="s">
        <v>238</v>
      </c>
      <c r="O147" t="s">
        <v>236</v>
      </c>
    </row>
    <row r="148" spans="1:15">
      <c r="A148" s="116" t="s">
        <v>1090</v>
      </c>
      <c r="B148" s="22" t="s">
        <v>253</v>
      </c>
      <c r="C148" s="22" t="s">
        <v>122</v>
      </c>
      <c r="E148" s="71" t="s">
        <v>240</v>
      </c>
      <c r="F148" s="22" t="s">
        <v>35</v>
      </c>
      <c r="G148" s="22" t="s">
        <v>125</v>
      </c>
      <c r="H148" s="120">
        <f>AVERAGEIFS(raw_data_Wang2023!T:T,raw_data_Wang2023!S:S,Data!E148,raw_data_Wang2023!R:R,B148)</f>
        <v>588.75</v>
      </c>
      <c r="I148" s="22" t="s">
        <v>234</v>
      </c>
      <c r="J148" s="22" t="s">
        <v>235</v>
      </c>
      <c r="K148" s="22" t="s">
        <v>35</v>
      </c>
      <c r="M148" s="72" t="str">
        <f>CONCATENATE("13;",ROUND(_xlfn.MINIFS(raw_data_Wang2023!T:T,raw_data_Wang2023!S:S,Data!#REF!,raw_data_Wang2023!R:R,B148)/H148,2),"*value;",ROUND(_xlfn.MAXIFS(raw_data_Wang2023!T:T,raw_data_Wang2023!S:S,Data!#REF!,raw_data_Wang2023!R:R,B148)/H148,2),"*value")</f>
        <v>13;0*value;0*value</v>
      </c>
      <c r="N148" s="22" t="s">
        <v>238</v>
      </c>
      <c r="O148" t="s">
        <v>236</v>
      </c>
    </row>
    <row r="149" spans="1:15">
      <c r="A149" s="116" t="s">
        <v>1090</v>
      </c>
      <c r="B149" s="22" t="s">
        <v>254</v>
      </c>
      <c r="C149" s="22" t="s">
        <v>122</v>
      </c>
      <c r="E149" s="71" t="s">
        <v>233</v>
      </c>
      <c r="F149" s="22" t="s">
        <v>35</v>
      </c>
      <c r="G149" s="22" t="s">
        <v>125</v>
      </c>
      <c r="H149" s="120">
        <f>AVERAGEIFS(raw_data_Wang2023!T:T,raw_data_Wang2023!S:S,Data!E149,raw_data_Wang2023!R:R,B149)</f>
        <v>20918.5</v>
      </c>
      <c r="I149" s="22" t="s">
        <v>234</v>
      </c>
      <c r="J149" s="22" t="s">
        <v>235</v>
      </c>
      <c r="K149" s="22" t="s">
        <v>35</v>
      </c>
      <c r="M149" s="72" t="str">
        <f>CONCATENATE("13;",ROUND(_xlfn.MINIFS(raw_data_Wang2023!T:T,raw_data_Wang2023!S:S,Data!#REF!,raw_data_Wang2023!R:R,B149)/H149,2),"*value;",ROUND(_xlfn.MAXIFS(raw_data_Wang2023!T:T,raw_data_Wang2023!S:S,Data!#REF!,raw_data_Wang2023!R:R,B149)/H149,2),"*value")</f>
        <v>13;0*value;0*value</v>
      </c>
      <c r="N149" s="22" t="s">
        <v>238</v>
      </c>
      <c r="O149" t="s">
        <v>236</v>
      </c>
    </row>
    <row r="150" spans="1:15">
      <c r="A150" s="116" t="s">
        <v>1090</v>
      </c>
      <c r="B150" s="22" t="s">
        <v>254</v>
      </c>
      <c r="C150" s="22" t="s">
        <v>122</v>
      </c>
      <c r="E150" s="71" t="s">
        <v>239</v>
      </c>
      <c r="F150" s="22" t="s">
        <v>35</v>
      </c>
      <c r="G150" s="22" t="s">
        <v>125</v>
      </c>
      <c r="H150" s="120">
        <f>AVERAGEIFS(raw_data_Wang2023!T:T,raw_data_Wang2023!S:S,Data!E150,raw_data_Wang2023!R:R,B150)</f>
        <v>52000</v>
      </c>
      <c r="I150" s="22" t="s">
        <v>234</v>
      </c>
      <c r="J150" s="22" t="s">
        <v>235</v>
      </c>
      <c r="K150" s="22" t="s">
        <v>35</v>
      </c>
      <c r="M150" s="72" t="str">
        <f>CONCATENATE("13;",ROUND(_xlfn.MINIFS(raw_data_Wang2023!T:T,raw_data_Wang2023!S:S,Data!#REF!,raw_data_Wang2023!R:R,B150)/H150,2),"*value;",ROUND(_xlfn.MAXIFS(raw_data_Wang2023!T:T,raw_data_Wang2023!S:S,Data!#REF!,raw_data_Wang2023!R:R,B150)/H150,2),"*value")</f>
        <v>13;0*value;0*value</v>
      </c>
      <c r="N150" s="22" t="s">
        <v>238</v>
      </c>
      <c r="O150" t="s">
        <v>236</v>
      </c>
    </row>
    <row r="151" spans="1:15">
      <c r="A151" s="116" t="s">
        <v>1090</v>
      </c>
      <c r="B151" s="22" t="s">
        <v>254</v>
      </c>
      <c r="C151" s="22" t="s">
        <v>122</v>
      </c>
      <c r="E151" s="71" t="s">
        <v>241</v>
      </c>
      <c r="F151" s="22" t="s">
        <v>35</v>
      </c>
      <c r="G151" s="22" t="s">
        <v>125</v>
      </c>
      <c r="H151" s="120">
        <f>AVERAGEIFS(raw_data_Wang2023!T:T,raw_data_Wang2023!S:S,Data!E151,raw_data_Wang2023!R:R,B151)</f>
        <v>1300</v>
      </c>
      <c r="I151" s="22" t="s">
        <v>234</v>
      </c>
      <c r="J151" s="22" t="s">
        <v>235</v>
      </c>
      <c r="K151" s="22" t="s">
        <v>35</v>
      </c>
      <c r="M151" s="72" t="str">
        <f>CONCATENATE("13;",ROUND(_xlfn.MINIFS(raw_data_Wang2023!T:T,raw_data_Wang2023!S:S,Data!#REF!,raw_data_Wang2023!R:R,B151)/H151,2),"*value;",ROUND(_xlfn.MAXIFS(raw_data_Wang2023!T:T,raw_data_Wang2023!S:S,Data!#REF!,raw_data_Wang2023!R:R,B151)/H151,2),"*value")</f>
        <v>13;0*value;0*value</v>
      </c>
      <c r="N151" s="22" t="s">
        <v>238</v>
      </c>
      <c r="O151" t="s">
        <v>236</v>
      </c>
    </row>
    <row r="152" spans="1:15">
      <c r="A152" s="116" t="s">
        <v>1090</v>
      </c>
      <c r="B152" s="22" t="s">
        <v>254</v>
      </c>
      <c r="C152" s="22" t="s">
        <v>122</v>
      </c>
      <c r="E152" s="71" t="s">
        <v>240</v>
      </c>
      <c r="F152" s="22" t="s">
        <v>35</v>
      </c>
      <c r="G152" s="22" t="s">
        <v>125</v>
      </c>
      <c r="H152" s="120">
        <f>AVERAGEIFS(raw_data_Wang2023!T:T,raw_data_Wang2023!S:S,Data!E152,raw_data_Wang2023!R:R,B152)</f>
        <v>490.75</v>
      </c>
      <c r="I152" s="22" t="s">
        <v>234</v>
      </c>
      <c r="J152" s="22" t="s">
        <v>235</v>
      </c>
      <c r="K152" s="22" t="s">
        <v>35</v>
      </c>
      <c r="M152" s="72" t="str">
        <f>CONCATENATE("13;",ROUND(_xlfn.MINIFS(raw_data_Wang2023!T:T,raw_data_Wang2023!S:S,Data!#REF!,raw_data_Wang2023!R:R,B152)/H152,2),"*value;",ROUND(_xlfn.MAXIFS(raw_data_Wang2023!T:T,raw_data_Wang2023!S:S,Data!#REF!,raw_data_Wang2023!R:R,B152)/H152,2),"*value")</f>
        <v>13;0*value;0*value</v>
      </c>
      <c r="N152" s="22" t="s">
        <v>238</v>
      </c>
      <c r="O152" t="s">
        <v>236</v>
      </c>
    </row>
    <row r="153" spans="1:15">
      <c r="A153" s="116" t="s">
        <v>1090</v>
      </c>
      <c r="B153" s="22" t="s">
        <v>255</v>
      </c>
      <c r="C153" s="22" t="s">
        <v>122</v>
      </c>
      <c r="E153" s="71" t="s">
        <v>233</v>
      </c>
      <c r="F153" s="22" t="s">
        <v>35</v>
      </c>
      <c r="G153" s="22" t="s">
        <v>125</v>
      </c>
      <c r="H153" s="120">
        <f>AVERAGEIFS(raw_data_Wang2023!T:T,raw_data_Wang2023!S:S,Data!E153,raw_data_Wang2023!R:R,B153)</f>
        <v>32005</v>
      </c>
      <c r="I153" s="22" t="s">
        <v>234</v>
      </c>
      <c r="J153" s="22" t="s">
        <v>235</v>
      </c>
      <c r="K153" s="22" t="s">
        <v>35</v>
      </c>
      <c r="M153" s="72" t="str">
        <f>CONCATENATE("13;",ROUND(_xlfn.MINIFS(raw_data_Wang2023!T:T,raw_data_Wang2023!S:S,Data!#REF!,raw_data_Wang2023!R:R,B153)/H153,2),"*value;",ROUND(_xlfn.MAXIFS(raw_data_Wang2023!T:T,raw_data_Wang2023!S:S,Data!#REF!,raw_data_Wang2023!R:R,B153)/H153,2),"*value")</f>
        <v>13;0*value;0*value</v>
      </c>
      <c r="N153" s="22" t="s">
        <v>238</v>
      </c>
      <c r="O153" t="s">
        <v>236</v>
      </c>
    </row>
    <row r="154" spans="1:15">
      <c r="A154" s="116" t="s">
        <v>1090</v>
      </c>
      <c r="B154" s="22" t="s">
        <v>255</v>
      </c>
      <c r="C154" s="22" t="s">
        <v>122</v>
      </c>
      <c r="E154" s="71" t="s">
        <v>239</v>
      </c>
      <c r="F154" s="22" t="s">
        <v>35</v>
      </c>
      <c r="G154" s="22" t="s">
        <v>125</v>
      </c>
      <c r="H154" s="120">
        <f>AVERAGEIFS(raw_data_Wang2023!T:T,raw_data_Wang2023!S:S,Data!E154,raw_data_Wang2023!R:R,B154)</f>
        <v>79560</v>
      </c>
      <c r="I154" s="22" t="s">
        <v>234</v>
      </c>
      <c r="J154" s="22" t="s">
        <v>235</v>
      </c>
      <c r="K154" s="22" t="s">
        <v>35</v>
      </c>
      <c r="M154" s="72" t="str">
        <f>CONCATENATE("13;",ROUND(_xlfn.MINIFS(raw_data_Wang2023!T:T,raw_data_Wang2023!S:S,Data!#REF!,raw_data_Wang2023!R:R,B154)/H154,2),"*value;",ROUND(_xlfn.MAXIFS(raw_data_Wang2023!T:T,raw_data_Wang2023!S:S,Data!#REF!,raw_data_Wang2023!R:R,B154)/H154,2),"*value")</f>
        <v>13;0*value;0*value</v>
      </c>
      <c r="N154" s="22" t="s">
        <v>238</v>
      </c>
      <c r="O154" t="s">
        <v>236</v>
      </c>
    </row>
    <row r="155" spans="1:15">
      <c r="A155" s="116" t="s">
        <v>1090</v>
      </c>
      <c r="B155" s="22" t="s">
        <v>255</v>
      </c>
      <c r="C155" s="22" t="s">
        <v>122</v>
      </c>
      <c r="E155" s="71" t="s">
        <v>241</v>
      </c>
      <c r="F155" s="22" t="s">
        <v>35</v>
      </c>
      <c r="G155" s="22" t="s">
        <v>125</v>
      </c>
      <c r="H155" s="120">
        <f>AVERAGEIFS(raw_data_Wang2023!T:T,raw_data_Wang2023!S:S,Data!E155,raw_data_Wang2023!R:R,B155)</f>
        <v>1300</v>
      </c>
      <c r="I155" s="22" t="s">
        <v>234</v>
      </c>
      <c r="J155" s="22" t="s">
        <v>235</v>
      </c>
      <c r="K155" s="22" t="s">
        <v>35</v>
      </c>
      <c r="M155" s="72" t="str">
        <f>CONCATENATE("13;",ROUND(_xlfn.MINIFS(raw_data_Wang2023!T:T,raw_data_Wang2023!S:S,Data!#REF!,raw_data_Wang2023!R:R,B155)/H155,2),"*value;",ROUND(_xlfn.MAXIFS(raw_data_Wang2023!T:T,raw_data_Wang2023!S:S,Data!#REF!,raw_data_Wang2023!R:R,B155)/H155,2),"*value")</f>
        <v>13;0*value;0*value</v>
      </c>
      <c r="N155" s="22" t="s">
        <v>238</v>
      </c>
      <c r="O155" t="s">
        <v>236</v>
      </c>
    </row>
    <row r="156" spans="1:15">
      <c r="A156" s="116" t="s">
        <v>1090</v>
      </c>
      <c r="B156" s="22" t="s">
        <v>255</v>
      </c>
      <c r="C156" s="22" t="s">
        <v>122</v>
      </c>
      <c r="E156" s="71" t="s">
        <v>240</v>
      </c>
      <c r="F156" s="22" t="s">
        <v>35</v>
      </c>
      <c r="G156" s="22" t="s">
        <v>125</v>
      </c>
      <c r="H156" s="120">
        <f>AVERAGEIFS(raw_data_Wang2023!T:T,raw_data_Wang2023!S:S,Data!E156,raw_data_Wang2023!R:R,B156)</f>
        <v>596.66666666666663</v>
      </c>
      <c r="I156" s="22" t="s">
        <v>234</v>
      </c>
      <c r="J156" s="22" t="s">
        <v>235</v>
      </c>
      <c r="K156" s="22" t="s">
        <v>35</v>
      </c>
      <c r="M156" s="72" t="str">
        <f>CONCATENATE("13;",ROUND(_xlfn.MINIFS(raw_data_Wang2023!T:T,raw_data_Wang2023!S:S,Data!#REF!,raw_data_Wang2023!R:R,B156)/H156,2),"*value;",ROUND(_xlfn.MAXIFS(raw_data_Wang2023!T:T,raw_data_Wang2023!S:S,Data!#REF!,raw_data_Wang2023!R:R,B156)/H156,2),"*value")</f>
        <v>13;0*value;0*value</v>
      </c>
      <c r="N156" s="22" t="s">
        <v>238</v>
      </c>
      <c r="O156" t="s">
        <v>236</v>
      </c>
    </row>
    <row r="157" spans="1:15">
      <c r="A157" s="116" t="s">
        <v>1090</v>
      </c>
      <c r="B157" s="22" t="s">
        <v>1063</v>
      </c>
      <c r="C157" s="22">
        <v>2050</v>
      </c>
      <c r="E157" s="22" t="s">
        <v>1067</v>
      </c>
      <c r="F157" s="22" t="s">
        <v>1068</v>
      </c>
      <c r="G157" s="22" t="s">
        <v>1070</v>
      </c>
      <c r="H157" s="121">
        <v>20</v>
      </c>
      <c r="I157" s="22" t="s">
        <v>1069</v>
      </c>
      <c r="K157" s="22" t="s">
        <v>35</v>
      </c>
      <c r="M157" s="22" t="s">
        <v>35</v>
      </c>
      <c r="O157" s="22" t="s">
        <v>1071</v>
      </c>
    </row>
    <row r="158" spans="1:15">
      <c r="A158" s="116" t="s">
        <v>1090</v>
      </c>
      <c r="B158" s="22" t="s">
        <v>1064</v>
      </c>
      <c r="C158" s="22">
        <v>2050</v>
      </c>
      <c r="E158" s="22" t="s">
        <v>1067</v>
      </c>
      <c r="F158" s="22" t="s">
        <v>1068</v>
      </c>
      <c r="G158" s="22" t="s">
        <v>1070</v>
      </c>
      <c r="H158" s="121">
        <v>10</v>
      </c>
      <c r="I158" s="22" t="s">
        <v>1069</v>
      </c>
      <c r="K158" s="22" t="s">
        <v>35</v>
      </c>
      <c r="M158" s="22" t="s">
        <v>35</v>
      </c>
      <c r="O158" s="22" t="s">
        <v>1071</v>
      </c>
    </row>
    <row r="159" spans="1:15">
      <c r="A159" s="116" t="s">
        <v>1090</v>
      </c>
      <c r="B159" s="22" t="s">
        <v>420</v>
      </c>
      <c r="C159" s="22">
        <v>2050</v>
      </c>
      <c r="E159" s="22" t="s">
        <v>1067</v>
      </c>
      <c r="F159" s="22" t="s">
        <v>1068</v>
      </c>
      <c r="G159" s="22" t="s">
        <v>1070</v>
      </c>
      <c r="H159" s="121">
        <v>30</v>
      </c>
      <c r="I159" s="22" t="s">
        <v>1069</v>
      </c>
      <c r="K159" s="22" t="s">
        <v>35</v>
      </c>
      <c r="M159" s="22" t="s">
        <v>35</v>
      </c>
      <c r="O159" s="22" t="s">
        <v>1071</v>
      </c>
    </row>
    <row r="160" spans="1:15">
      <c r="A160" s="116" t="s">
        <v>1090</v>
      </c>
      <c r="B160" s="22" t="s">
        <v>421</v>
      </c>
      <c r="C160" s="22">
        <v>2050</v>
      </c>
      <c r="E160" s="22" t="s">
        <v>1067</v>
      </c>
      <c r="F160" s="22" t="s">
        <v>1068</v>
      </c>
      <c r="G160" s="22" t="s">
        <v>1070</v>
      </c>
      <c r="H160" s="121">
        <v>20</v>
      </c>
      <c r="I160" s="22" t="s">
        <v>1069</v>
      </c>
      <c r="K160" s="22" t="s">
        <v>35</v>
      </c>
      <c r="M160" s="22" t="s">
        <v>35</v>
      </c>
      <c r="O160" s="22" t="s">
        <v>1071</v>
      </c>
    </row>
    <row r="161" spans="1:15">
      <c r="A161" s="116" t="s">
        <v>1090</v>
      </c>
      <c r="B161" s="22" t="s">
        <v>422</v>
      </c>
      <c r="C161" s="22">
        <v>2050</v>
      </c>
      <c r="E161" s="22" t="s">
        <v>1067</v>
      </c>
      <c r="F161" s="22" t="s">
        <v>1068</v>
      </c>
      <c r="G161" s="22" t="s">
        <v>1070</v>
      </c>
      <c r="H161" s="121">
        <v>10</v>
      </c>
      <c r="I161" s="22" t="s">
        <v>1069</v>
      </c>
      <c r="K161" s="22" t="s">
        <v>35</v>
      </c>
      <c r="M161" s="22" t="s">
        <v>35</v>
      </c>
      <c r="O161" s="22" t="s">
        <v>1071</v>
      </c>
    </row>
    <row r="162" spans="1:15">
      <c r="A162" s="116" t="s">
        <v>1090</v>
      </c>
      <c r="B162" s="22" t="s">
        <v>1065</v>
      </c>
      <c r="C162" s="22">
        <v>2050</v>
      </c>
      <c r="E162" s="22" t="s">
        <v>1067</v>
      </c>
      <c r="F162" s="22" t="s">
        <v>1068</v>
      </c>
      <c r="G162" s="22" t="s">
        <v>1070</v>
      </c>
      <c r="H162" s="121">
        <v>30</v>
      </c>
      <c r="I162" s="22" t="s">
        <v>1069</v>
      </c>
      <c r="K162" s="22" t="s">
        <v>35</v>
      </c>
      <c r="M162" s="22" t="s">
        <v>35</v>
      </c>
      <c r="O162" s="22" t="s">
        <v>1071</v>
      </c>
    </row>
    <row r="163" spans="1:15">
      <c r="A163" s="116" t="s">
        <v>1090</v>
      </c>
      <c r="B163" s="22" t="s">
        <v>1066</v>
      </c>
      <c r="C163" s="22">
        <v>2050</v>
      </c>
      <c r="E163" s="22" t="s">
        <v>1067</v>
      </c>
      <c r="F163" s="22" t="s">
        <v>1068</v>
      </c>
      <c r="G163" s="22" t="s">
        <v>1070</v>
      </c>
      <c r="H163" s="121">
        <v>10</v>
      </c>
      <c r="I163" s="22" t="s">
        <v>1069</v>
      </c>
      <c r="K163" s="22" t="s">
        <v>35</v>
      </c>
      <c r="M163" s="22" t="s">
        <v>35</v>
      </c>
      <c r="O163" s="22" t="s">
        <v>1071</v>
      </c>
    </row>
  </sheetData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opLeftCell="A7" zoomScale="60" zoomScaleNormal="60" workbookViewId="0">
      <selection activeCell="E33" sqref="E33"/>
    </sheetView>
  </sheetViews>
  <sheetFormatPr defaultColWidth="9" defaultRowHeight="14.5"/>
  <cols>
    <col min="1" max="1" width="33.81640625" customWidth="1"/>
    <col min="2" max="2" width="46.26953125" customWidth="1"/>
    <col min="3" max="3" width="36" customWidth="1"/>
    <col min="4" max="4" width="27.26953125" customWidth="1"/>
    <col min="5" max="5" width="20.26953125" customWidth="1"/>
    <col min="6" max="6" width="37.26953125" customWidth="1"/>
    <col min="7" max="7" width="22" customWidth="1"/>
  </cols>
  <sheetData>
    <row r="1" spans="1:7" ht="43.5">
      <c r="A1" s="57" t="s">
        <v>256</v>
      </c>
      <c r="B1" s="58" t="s">
        <v>257</v>
      </c>
      <c r="C1" s="58" t="s">
        <v>258</v>
      </c>
      <c r="D1" s="59" t="s">
        <v>259</v>
      </c>
      <c r="E1" s="59" t="s">
        <v>260</v>
      </c>
      <c r="F1" s="59" t="s">
        <v>261</v>
      </c>
      <c r="G1" s="58" t="s">
        <v>262</v>
      </c>
    </row>
    <row r="2" spans="1:7">
      <c r="A2" s="22" t="s">
        <v>263</v>
      </c>
      <c r="B2" s="22" t="s">
        <v>264</v>
      </c>
      <c r="C2" s="22" t="s">
        <v>265</v>
      </c>
      <c r="D2" s="60">
        <v>45273</v>
      </c>
      <c r="E2" s="22" t="s">
        <v>266</v>
      </c>
      <c r="F2" s="22" t="s">
        <v>267</v>
      </c>
      <c r="G2" s="22">
        <v>2</v>
      </c>
    </row>
    <row r="3" spans="1:7">
      <c r="A3" s="60"/>
      <c r="B3" s="22"/>
      <c r="C3" s="22"/>
      <c r="D3" s="22"/>
      <c r="E3" s="22"/>
      <c r="F3" s="61" t="s">
        <v>268</v>
      </c>
      <c r="G3" s="22"/>
    </row>
    <row r="4" spans="1:7">
      <c r="F4" s="22" t="s">
        <v>269</v>
      </c>
      <c r="G4" s="22"/>
    </row>
    <row r="5" spans="1:7">
      <c r="A5" s="22"/>
      <c r="B5" s="22"/>
      <c r="C5" s="22"/>
      <c r="D5" s="22"/>
      <c r="E5" s="22"/>
      <c r="F5" s="61" t="s">
        <v>270</v>
      </c>
      <c r="G5" s="22"/>
    </row>
    <row r="6" spans="1:7">
      <c r="A6" s="22"/>
      <c r="B6" s="22"/>
      <c r="C6" s="22"/>
      <c r="D6" s="22"/>
      <c r="E6" s="22"/>
      <c r="F6" s="22" t="s">
        <v>269</v>
      </c>
      <c r="G6" s="22"/>
    </row>
    <row r="8" spans="1:7">
      <c r="A8" s="63" t="s">
        <v>129</v>
      </c>
      <c r="B8" s="22" t="s">
        <v>271</v>
      </c>
      <c r="C8" s="22" t="s">
        <v>120</v>
      </c>
      <c r="D8" s="60" t="s">
        <v>272</v>
      </c>
      <c r="E8" s="22" t="s">
        <v>273</v>
      </c>
      <c r="F8" s="22" t="s">
        <v>274</v>
      </c>
      <c r="G8" s="64" t="s">
        <v>275</v>
      </c>
    </row>
    <row r="9" spans="1:7">
      <c r="F9" s="61" t="s">
        <v>268</v>
      </c>
    </row>
    <row r="10" spans="1:7">
      <c r="F10" s="22" t="s">
        <v>269</v>
      </c>
    </row>
    <row r="11" spans="1:7">
      <c r="F11" s="61" t="s">
        <v>270</v>
      </c>
    </row>
    <row r="12" spans="1:7">
      <c r="F12" s="22" t="s">
        <v>269</v>
      </c>
    </row>
    <row r="14" spans="1:7">
      <c r="A14" t="s">
        <v>276</v>
      </c>
      <c r="B14" t="s">
        <v>277</v>
      </c>
      <c r="D14" s="68">
        <v>45629</v>
      </c>
      <c r="E14" t="s">
        <v>278</v>
      </c>
      <c r="F14" t="s">
        <v>279</v>
      </c>
      <c r="G14">
        <v>24</v>
      </c>
    </row>
    <row r="15" spans="1:7">
      <c r="F15" s="61" t="s">
        <v>268</v>
      </c>
    </row>
    <row r="16" spans="1:7">
      <c r="F16" s="22" t="s">
        <v>269</v>
      </c>
    </row>
    <row r="17" spans="1:7">
      <c r="F17" s="61" t="s">
        <v>270</v>
      </c>
    </row>
    <row r="18" spans="1:7">
      <c r="F18" s="22" t="s">
        <v>269</v>
      </c>
    </row>
    <row r="20" spans="1:7">
      <c r="A20" t="s">
        <v>203</v>
      </c>
      <c r="B20" t="s">
        <v>280</v>
      </c>
      <c r="D20" s="68">
        <v>45629</v>
      </c>
      <c r="E20" t="s">
        <v>278</v>
      </c>
      <c r="F20" t="s">
        <v>281</v>
      </c>
      <c r="G20" t="s">
        <v>282</v>
      </c>
    </row>
    <row r="21" spans="1:7">
      <c r="F21" s="61" t="s">
        <v>268</v>
      </c>
    </row>
    <row r="22" spans="1:7">
      <c r="F22" s="22" t="s">
        <v>269</v>
      </c>
    </row>
    <row r="23" spans="1:7">
      <c r="F23" s="61" t="s">
        <v>270</v>
      </c>
    </row>
    <row r="24" spans="1:7">
      <c r="F24" s="22" t="s">
        <v>269</v>
      </c>
    </row>
    <row r="26" spans="1:7">
      <c r="A26" t="s">
        <v>236</v>
      </c>
      <c r="B26" s="22" t="s">
        <v>271</v>
      </c>
      <c r="C26" t="s">
        <v>120</v>
      </c>
      <c r="D26" t="s">
        <v>283</v>
      </c>
      <c r="E26" t="s">
        <v>284</v>
      </c>
      <c r="F26" s="22" t="s">
        <v>285</v>
      </c>
    </row>
    <row r="27" spans="1:7">
      <c r="F27" s="61" t="s">
        <v>268</v>
      </c>
    </row>
    <row r="28" spans="1:7">
      <c r="F28" s="22" t="s">
        <v>269</v>
      </c>
    </row>
    <row r="29" spans="1:7">
      <c r="F29" s="61" t="s">
        <v>270</v>
      </c>
    </row>
    <row r="30" spans="1:7">
      <c r="F30" s="22" t="s">
        <v>269</v>
      </c>
    </row>
    <row r="32" spans="1:7">
      <c r="A32" s="22" t="s">
        <v>1071</v>
      </c>
      <c r="B32" t="s">
        <v>122</v>
      </c>
      <c r="C32" t="s">
        <v>120</v>
      </c>
      <c r="D32" s="68">
        <v>45386</v>
      </c>
      <c r="E32" t="s">
        <v>1072</v>
      </c>
      <c r="F32" s="22" t="s">
        <v>1073</v>
      </c>
    </row>
    <row r="33" spans="6:6">
      <c r="F33" s="61" t="s">
        <v>268</v>
      </c>
    </row>
    <row r="34" spans="6:6">
      <c r="F34" s="22" t="s">
        <v>269</v>
      </c>
    </row>
    <row r="35" spans="6:6">
      <c r="F35" s="61" t="s">
        <v>270</v>
      </c>
    </row>
    <row r="36" spans="6:6">
      <c r="F36" s="22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8"/>
  <sheetViews>
    <sheetView topLeftCell="A4" zoomScale="60" zoomScaleNormal="60" workbookViewId="0">
      <selection activeCell="D33" sqref="D33"/>
    </sheetView>
  </sheetViews>
  <sheetFormatPr defaultColWidth="9" defaultRowHeight="14.5"/>
  <cols>
    <col min="2" max="2" width="33.453125" customWidth="1"/>
    <col min="3" max="3" width="15.26953125" customWidth="1"/>
    <col min="4" max="5" width="14.453125" customWidth="1"/>
    <col min="6" max="6" width="64.453125" customWidth="1"/>
    <col min="7" max="13" width="14.453125" customWidth="1"/>
  </cols>
  <sheetData>
    <row r="1" spans="2:14" s="30" customFormat="1" ht="72.5">
      <c r="B1" s="24" t="s">
        <v>286</v>
      </c>
      <c r="C1" s="25" t="s">
        <v>287</v>
      </c>
      <c r="D1" s="25" t="s">
        <v>288</v>
      </c>
      <c r="E1" s="24" t="s">
        <v>289</v>
      </c>
      <c r="F1" s="24" t="s">
        <v>290</v>
      </c>
      <c r="G1" s="24" t="s">
        <v>291</v>
      </c>
      <c r="H1" s="24" t="s">
        <v>292</v>
      </c>
      <c r="I1" s="24" t="s">
        <v>293</v>
      </c>
      <c r="J1" s="24" t="s">
        <v>294</v>
      </c>
      <c r="K1" s="24" t="s">
        <v>295</v>
      </c>
      <c r="L1" s="24" t="s">
        <v>296</v>
      </c>
      <c r="M1" s="24" t="s">
        <v>297</v>
      </c>
      <c r="N1" s="24" t="s">
        <v>298</v>
      </c>
    </row>
    <row r="2" spans="2:14">
      <c r="B2" s="2" t="s">
        <v>299</v>
      </c>
      <c r="C2" s="26">
        <v>1</v>
      </c>
      <c r="D2" s="18" t="s">
        <v>300</v>
      </c>
      <c r="E2" s="65" t="s">
        <v>301</v>
      </c>
      <c r="F2" s="65"/>
      <c r="G2" s="65">
        <v>2018</v>
      </c>
      <c r="H2" s="65" t="s">
        <v>302</v>
      </c>
      <c r="I2" s="65"/>
      <c r="J2" s="69" t="s">
        <v>303</v>
      </c>
      <c r="K2" s="70"/>
      <c r="L2" s="2"/>
      <c r="M2" s="2"/>
      <c r="N2" s="2"/>
    </row>
    <row r="3" spans="2:14">
      <c r="B3" s="2" t="s">
        <v>299</v>
      </c>
      <c r="C3" s="26">
        <v>2</v>
      </c>
      <c r="D3" s="18" t="s">
        <v>300</v>
      </c>
      <c r="E3" s="65" t="s">
        <v>304</v>
      </c>
      <c r="F3" s="65" t="s">
        <v>305</v>
      </c>
      <c r="G3" s="65">
        <v>2013</v>
      </c>
      <c r="H3" s="65" t="s">
        <v>306</v>
      </c>
      <c r="I3" s="65"/>
      <c r="J3" s="69" t="s">
        <v>307</v>
      </c>
      <c r="K3" s="70"/>
    </row>
    <row r="4" spans="2:14">
      <c r="B4" s="2" t="s">
        <v>299</v>
      </c>
      <c r="C4" s="26">
        <v>3</v>
      </c>
      <c r="D4" s="18" t="s">
        <v>300</v>
      </c>
      <c r="E4" s="65" t="s">
        <v>308</v>
      </c>
      <c r="F4" s="65" t="s">
        <v>309</v>
      </c>
      <c r="G4" s="65">
        <v>2019</v>
      </c>
      <c r="H4" s="65" t="s">
        <v>310</v>
      </c>
      <c r="I4" s="65"/>
      <c r="J4" s="69" t="s">
        <v>311</v>
      </c>
      <c r="K4" s="70"/>
      <c r="N4" s="27"/>
    </row>
    <row r="5" spans="2:14">
      <c r="B5" s="2" t="s">
        <v>299</v>
      </c>
      <c r="C5" s="26">
        <v>4</v>
      </c>
      <c r="D5" s="18" t="s">
        <v>300</v>
      </c>
      <c r="E5" s="65" t="s">
        <v>312</v>
      </c>
      <c r="F5" s="65" t="s">
        <v>313</v>
      </c>
      <c r="G5" s="65">
        <v>2016</v>
      </c>
      <c r="H5" s="65" t="s">
        <v>314</v>
      </c>
      <c r="I5" s="65"/>
      <c r="J5" s="69" t="s">
        <v>315</v>
      </c>
      <c r="K5" s="70"/>
    </row>
    <row r="6" spans="2:14">
      <c r="C6" s="26">
        <v>5</v>
      </c>
      <c r="D6" s="18" t="s">
        <v>300</v>
      </c>
      <c r="E6" s="65" t="s">
        <v>316</v>
      </c>
      <c r="F6" s="65" t="s">
        <v>317</v>
      </c>
      <c r="G6" s="65">
        <v>2019</v>
      </c>
      <c r="H6" s="65" t="s">
        <v>318</v>
      </c>
      <c r="I6" s="65"/>
      <c r="J6" s="69" t="s">
        <v>319</v>
      </c>
      <c r="K6" s="70"/>
    </row>
    <row r="7" spans="2:14">
      <c r="C7" s="26">
        <v>6</v>
      </c>
      <c r="D7" s="18" t="s">
        <v>300</v>
      </c>
      <c r="E7" s="65" t="s">
        <v>320</v>
      </c>
      <c r="F7" s="65" t="s">
        <v>321</v>
      </c>
      <c r="G7" s="65">
        <v>2018</v>
      </c>
      <c r="H7" s="65" t="s">
        <v>322</v>
      </c>
      <c r="I7" s="65"/>
      <c r="J7" s="69" t="s">
        <v>323</v>
      </c>
      <c r="K7" s="70"/>
    </row>
    <row r="8" spans="2:14">
      <c r="C8" s="26">
        <v>7</v>
      </c>
      <c r="D8" s="18" t="s">
        <v>324</v>
      </c>
      <c r="E8" s="65" t="s">
        <v>325</v>
      </c>
      <c r="F8" s="65" t="s">
        <v>326</v>
      </c>
      <c r="G8" s="65">
        <v>2007</v>
      </c>
      <c r="H8" s="65" t="s">
        <v>327</v>
      </c>
      <c r="I8" s="65"/>
      <c r="J8" s="70"/>
      <c r="K8" s="70"/>
    </row>
    <row r="9" spans="2:14">
      <c r="C9" s="26">
        <v>8</v>
      </c>
      <c r="D9" s="18" t="s">
        <v>300</v>
      </c>
      <c r="E9" s="65" t="s">
        <v>328</v>
      </c>
      <c r="F9" s="65" t="s">
        <v>329</v>
      </c>
      <c r="G9" s="65">
        <v>2013</v>
      </c>
      <c r="H9" s="65" t="s">
        <v>310</v>
      </c>
      <c r="I9" s="65"/>
      <c r="J9" s="69" t="s">
        <v>330</v>
      </c>
      <c r="K9" s="70"/>
    </row>
    <row r="10" spans="2:14">
      <c r="C10" s="26">
        <v>9</v>
      </c>
      <c r="D10" s="18" t="s">
        <v>300</v>
      </c>
      <c r="E10" s="65" t="s">
        <v>331</v>
      </c>
      <c r="F10" s="65" t="s">
        <v>332</v>
      </c>
      <c r="G10" s="65">
        <v>2018</v>
      </c>
      <c r="H10" s="65" t="s">
        <v>333</v>
      </c>
      <c r="I10" s="65"/>
      <c r="J10" s="69" t="s">
        <v>334</v>
      </c>
      <c r="K10" s="70"/>
    </row>
    <row r="11" spans="2:14">
      <c r="C11" s="26">
        <v>10</v>
      </c>
      <c r="D11" s="18" t="s">
        <v>300</v>
      </c>
      <c r="E11" s="65" t="s">
        <v>335</v>
      </c>
      <c r="F11" s="65" t="s">
        <v>336</v>
      </c>
      <c r="G11" s="65">
        <v>2020</v>
      </c>
      <c r="H11" s="65" t="s">
        <v>337</v>
      </c>
      <c r="I11" s="65"/>
      <c r="J11" s="69" t="s">
        <v>338</v>
      </c>
      <c r="K11" s="70"/>
    </row>
    <row r="12" spans="2:14">
      <c r="C12" s="26">
        <v>11</v>
      </c>
      <c r="D12" s="18" t="s">
        <v>300</v>
      </c>
      <c r="E12" s="65" t="s">
        <v>339</v>
      </c>
      <c r="F12" s="65" t="s">
        <v>340</v>
      </c>
      <c r="G12" s="65">
        <v>2019</v>
      </c>
      <c r="H12" s="65" t="s">
        <v>341</v>
      </c>
      <c r="I12" s="65"/>
      <c r="J12" s="69" t="s">
        <v>342</v>
      </c>
      <c r="K12" s="70"/>
    </row>
    <row r="13" spans="2:14">
      <c r="C13" s="26">
        <v>12</v>
      </c>
      <c r="D13" s="18" t="s">
        <v>300</v>
      </c>
      <c r="E13" s="65" t="s">
        <v>343</v>
      </c>
      <c r="F13" s="65" t="s">
        <v>344</v>
      </c>
      <c r="G13" s="65">
        <v>2018</v>
      </c>
      <c r="H13" s="65" t="s">
        <v>333</v>
      </c>
      <c r="I13" s="65"/>
      <c r="J13" s="69" t="s">
        <v>345</v>
      </c>
      <c r="K13" s="70"/>
    </row>
    <row r="14" spans="2:14">
      <c r="C14" s="26">
        <v>13</v>
      </c>
      <c r="D14" s="18" t="s">
        <v>300</v>
      </c>
      <c r="E14" s="65" t="s">
        <v>346</v>
      </c>
      <c r="F14" s="65" t="s">
        <v>347</v>
      </c>
      <c r="G14" s="65">
        <v>2013</v>
      </c>
      <c r="H14" s="65" t="s">
        <v>333</v>
      </c>
      <c r="I14" s="65"/>
      <c r="J14" s="69" t="s">
        <v>348</v>
      </c>
      <c r="K14" s="70"/>
    </row>
    <row r="15" spans="2:14">
      <c r="C15" s="26">
        <v>14</v>
      </c>
      <c r="D15" s="18" t="s">
        <v>300</v>
      </c>
      <c r="E15" s="65" t="s">
        <v>349</v>
      </c>
      <c r="F15" s="65" t="s">
        <v>350</v>
      </c>
      <c r="G15" s="65">
        <v>2002</v>
      </c>
      <c r="H15" s="65" t="s">
        <v>351</v>
      </c>
      <c r="I15" s="65"/>
      <c r="J15" s="69" t="s">
        <v>352</v>
      </c>
      <c r="K15" s="70"/>
    </row>
    <row r="16" spans="2:14">
      <c r="C16" s="26">
        <v>15</v>
      </c>
      <c r="D16" s="18" t="s">
        <v>300</v>
      </c>
      <c r="E16" s="65" t="s">
        <v>353</v>
      </c>
      <c r="F16" s="65" t="s">
        <v>354</v>
      </c>
      <c r="G16" s="65">
        <v>2018</v>
      </c>
      <c r="H16" s="65" t="s">
        <v>314</v>
      </c>
      <c r="I16" s="65"/>
      <c r="J16" s="69" t="s">
        <v>355</v>
      </c>
      <c r="K16" s="70"/>
    </row>
    <row r="17" spans="3:14">
      <c r="C17" s="26">
        <v>16</v>
      </c>
      <c r="D17" s="18" t="s">
        <v>300</v>
      </c>
      <c r="E17" s="65" t="s">
        <v>356</v>
      </c>
      <c r="F17" s="65" t="s">
        <v>357</v>
      </c>
      <c r="G17" s="65">
        <v>2018</v>
      </c>
      <c r="H17" s="65" t="s">
        <v>358</v>
      </c>
      <c r="I17" s="65"/>
      <c r="J17" s="69" t="s">
        <v>359</v>
      </c>
      <c r="K17" s="70"/>
    </row>
    <row r="18" spans="3:14">
      <c r="C18" s="26">
        <v>17</v>
      </c>
      <c r="D18" s="18" t="s">
        <v>300</v>
      </c>
      <c r="E18" s="65" t="s">
        <v>360</v>
      </c>
      <c r="F18" s="65" t="s">
        <v>361</v>
      </c>
      <c r="G18" s="65">
        <v>2013</v>
      </c>
      <c r="H18" s="65" t="s">
        <v>362</v>
      </c>
      <c r="I18" s="65"/>
      <c r="J18" s="69" t="s">
        <v>363</v>
      </c>
      <c r="K18" s="70"/>
    </row>
    <row r="19" spans="3:14">
      <c r="C19" s="26">
        <v>18</v>
      </c>
      <c r="D19" s="2" t="s">
        <v>364</v>
      </c>
      <c r="E19" s="65" t="s">
        <v>365</v>
      </c>
      <c r="F19" s="65" t="s">
        <v>366</v>
      </c>
      <c r="G19" s="65">
        <v>2020</v>
      </c>
      <c r="H19" s="65"/>
      <c r="I19" s="65"/>
      <c r="J19" s="70"/>
      <c r="K19" s="70"/>
      <c r="L19" s="70"/>
      <c r="M19" s="70"/>
      <c r="N19" s="70"/>
    </row>
    <row r="20" spans="3:14">
      <c r="C20" s="26">
        <v>19</v>
      </c>
      <c r="D20" s="2" t="s">
        <v>364</v>
      </c>
      <c r="E20" s="65" t="s">
        <v>367</v>
      </c>
      <c r="F20" s="65" t="s">
        <v>368</v>
      </c>
      <c r="G20" s="65">
        <v>2019</v>
      </c>
      <c r="H20" s="65"/>
      <c r="I20" s="65"/>
      <c r="J20" s="70"/>
      <c r="K20" s="70"/>
      <c r="L20" s="70"/>
      <c r="M20" s="70"/>
      <c r="N20" s="70"/>
    </row>
    <row r="21" spans="3:14">
      <c r="C21" s="26">
        <v>20</v>
      </c>
      <c r="D21" s="2" t="s">
        <v>369</v>
      </c>
      <c r="E21" s="65" t="s">
        <v>370</v>
      </c>
      <c r="F21" s="65" t="s">
        <v>371</v>
      </c>
      <c r="G21" s="65">
        <v>2020</v>
      </c>
      <c r="H21" s="65"/>
      <c r="I21" s="65" t="s">
        <v>372</v>
      </c>
      <c r="J21" s="70"/>
      <c r="K21" s="69" t="s">
        <v>373</v>
      </c>
      <c r="L21" s="70"/>
      <c r="M21" s="70"/>
      <c r="N21" s="70"/>
    </row>
    <row r="22" spans="3:14">
      <c r="C22" s="26">
        <v>21</v>
      </c>
      <c r="D22" s="2" t="s">
        <v>324</v>
      </c>
      <c r="E22" s="65" t="s">
        <v>374</v>
      </c>
      <c r="F22" s="65" t="s">
        <v>375</v>
      </c>
      <c r="G22" s="65">
        <v>2010</v>
      </c>
      <c r="H22" s="65" t="s">
        <v>376</v>
      </c>
      <c r="I22" s="65"/>
      <c r="J22" s="70"/>
      <c r="K22" s="70"/>
      <c r="L22" s="70"/>
      <c r="M22" s="70"/>
      <c r="N22" s="70"/>
    </row>
    <row r="23" spans="3:14">
      <c r="C23" s="26">
        <v>22</v>
      </c>
      <c r="D23" s="2" t="s">
        <v>324</v>
      </c>
      <c r="E23" s="65" t="s">
        <v>377</v>
      </c>
      <c r="F23" s="65" t="s">
        <v>378</v>
      </c>
      <c r="G23" s="65">
        <v>2017</v>
      </c>
      <c r="H23" s="65"/>
      <c r="I23" s="65"/>
      <c r="J23" s="70"/>
      <c r="K23" s="70"/>
      <c r="L23" s="70"/>
      <c r="M23" s="70"/>
      <c r="N23" s="70"/>
    </row>
    <row r="24" spans="3:14">
      <c r="C24" s="26">
        <v>23</v>
      </c>
      <c r="D24" s="2" t="s">
        <v>324</v>
      </c>
      <c r="E24" s="65" t="s">
        <v>379</v>
      </c>
      <c r="F24" s="65" t="s">
        <v>380</v>
      </c>
      <c r="G24" s="65"/>
      <c r="H24" s="65" t="s">
        <v>381</v>
      </c>
      <c r="I24" s="65"/>
      <c r="J24" s="70"/>
      <c r="K24" s="70"/>
      <c r="L24" s="70"/>
      <c r="M24" s="70"/>
      <c r="N24" s="70"/>
    </row>
    <row r="25" spans="3:14">
      <c r="C25" s="26">
        <v>24</v>
      </c>
      <c r="D25" s="18" t="s">
        <v>300</v>
      </c>
      <c r="E25" s="65" t="s">
        <v>382</v>
      </c>
      <c r="F25" s="65" t="s">
        <v>383</v>
      </c>
      <c r="G25" s="65">
        <v>2021</v>
      </c>
      <c r="H25" s="65" t="s">
        <v>384</v>
      </c>
      <c r="I25" s="65"/>
      <c r="J25" s="69" t="s">
        <v>385</v>
      </c>
      <c r="K25" s="70"/>
      <c r="L25" s="70"/>
      <c r="M25" s="70"/>
      <c r="N25" s="70" t="s">
        <v>386</v>
      </c>
    </row>
    <row r="26" spans="3:14">
      <c r="C26" s="26">
        <v>25</v>
      </c>
      <c r="D26" s="2" t="s">
        <v>300</v>
      </c>
      <c r="E26" s="65" t="s">
        <v>387</v>
      </c>
      <c r="F26" s="65" t="s">
        <v>388</v>
      </c>
      <c r="G26" s="65">
        <v>2012</v>
      </c>
      <c r="H26" s="65" t="s">
        <v>389</v>
      </c>
      <c r="I26" s="65"/>
      <c r="J26" s="69" t="s">
        <v>390</v>
      </c>
    </row>
    <row r="27" spans="3:14">
      <c r="C27" s="26">
        <v>26</v>
      </c>
      <c r="D27" s="2" t="s">
        <v>300</v>
      </c>
      <c r="E27" s="65" t="s">
        <v>391</v>
      </c>
      <c r="F27" s="65" t="s">
        <v>392</v>
      </c>
      <c r="G27" s="65">
        <v>2010</v>
      </c>
      <c r="H27" s="65" t="s">
        <v>393</v>
      </c>
      <c r="J27" s="69" t="s">
        <v>394</v>
      </c>
    </row>
    <row r="28" spans="3:14">
      <c r="C28" s="26">
        <v>27</v>
      </c>
      <c r="D28" s="2" t="s">
        <v>300</v>
      </c>
      <c r="E28" s="65" t="s">
        <v>395</v>
      </c>
      <c r="F28" s="65" t="s">
        <v>396</v>
      </c>
      <c r="G28" s="65">
        <v>2014</v>
      </c>
      <c r="H28" s="65" t="s">
        <v>389</v>
      </c>
      <c r="J28" s="69" t="s">
        <v>397</v>
      </c>
    </row>
    <row r="29" spans="3:14">
      <c r="C29" s="26">
        <v>28</v>
      </c>
      <c r="D29" s="2" t="s">
        <v>300</v>
      </c>
      <c r="E29" t="s">
        <v>398</v>
      </c>
      <c r="F29" t="s">
        <v>399</v>
      </c>
      <c r="G29" s="65">
        <v>2021</v>
      </c>
      <c r="H29" s="65" t="s">
        <v>384</v>
      </c>
      <c r="J29" s="69" t="s">
        <v>400</v>
      </c>
    </row>
    <row r="30" spans="3:14">
      <c r="C30" s="26">
        <v>29</v>
      </c>
      <c r="D30" s="2" t="s">
        <v>300</v>
      </c>
      <c r="E30" s="65" t="s">
        <v>401</v>
      </c>
      <c r="F30" s="65" t="s">
        <v>402</v>
      </c>
      <c r="G30" s="65">
        <v>2022</v>
      </c>
      <c r="H30" s="65" t="s">
        <v>384</v>
      </c>
      <c r="J30" s="69" t="s">
        <v>403</v>
      </c>
    </row>
    <row r="31" spans="3:14">
      <c r="C31" s="26">
        <v>30</v>
      </c>
      <c r="D31" t="s">
        <v>300</v>
      </c>
      <c r="E31" t="s">
        <v>404</v>
      </c>
      <c r="F31" t="s">
        <v>405</v>
      </c>
      <c r="G31">
        <v>2023</v>
      </c>
      <c r="H31" t="s">
        <v>406</v>
      </c>
      <c r="J31" s="69" t="s">
        <v>407</v>
      </c>
      <c r="N31" t="s">
        <v>408</v>
      </c>
    </row>
    <row r="32" spans="3:14">
      <c r="C32" s="26">
        <v>31</v>
      </c>
      <c r="D32" s="2" t="s">
        <v>1078</v>
      </c>
      <c r="E32" t="s">
        <v>1074</v>
      </c>
      <c r="F32" t="s">
        <v>1075</v>
      </c>
      <c r="G32">
        <v>2024</v>
      </c>
      <c r="H32" t="s">
        <v>1074</v>
      </c>
      <c r="I32" t="s">
        <v>1076</v>
      </c>
      <c r="J32" t="s">
        <v>1077</v>
      </c>
    </row>
    <row r="33" spans="3:4">
      <c r="C33" s="26">
        <v>32</v>
      </c>
      <c r="D33" s="22"/>
    </row>
    <row r="34" spans="3:4">
      <c r="C34" s="26">
        <v>33</v>
      </c>
    </row>
    <row r="35" spans="3:4">
      <c r="C35" s="26">
        <v>34</v>
      </c>
    </row>
    <row r="36" spans="3:4">
      <c r="C36" s="26">
        <v>35</v>
      </c>
    </row>
    <row r="37" spans="3:4">
      <c r="C37" s="26">
        <v>36</v>
      </c>
    </row>
    <row r="38" spans="3:4">
      <c r="C38" s="26">
        <v>37</v>
      </c>
    </row>
  </sheetData>
  <hyperlinks>
    <hyperlink ref="J2" r:id="rId1" xr:uid="{63F2FCF8-E291-49FC-83C8-78B147725511}"/>
    <hyperlink ref="J3" r:id="rId2" xr:uid="{74455055-295D-41FC-A159-F7E21A24C2AD}"/>
    <hyperlink ref="J4" r:id="rId3" xr:uid="{25F85403-7745-472A-8003-0F0DE069CF9E}"/>
    <hyperlink ref="J5" r:id="rId4" xr:uid="{86364E4C-5CF3-4926-9A67-4854377F8B0F}"/>
    <hyperlink ref="J6" r:id="rId5" xr:uid="{D42959C9-3499-419E-BB72-D2E74AC57B29}"/>
    <hyperlink ref="J7" r:id="rId6" xr:uid="{B7E4D710-2C58-4344-924D-A37F28C1425E}"/>
    <hyperlink ref="J9" r:id="rId7" xr:uid="{6B0D7596-56CE-4C21-BBF8-FAFAB20F6E16}"/>
    <hyperlink ref="J10" r:id="rId8" xr:uid="{117C59F6-D4F1-4E5C-A6E7-EBBF8A744C09}"/>
    <hyperlink ref="J11" r:id="rId9" xr:uid="{255677B7-05FC-45D9-9B74-4F4E259B28AB}"/>
    <hyperlink ref="J12" r:id="rId10" xr:uid="{135A1B14-3BCE-4CA6-9683-4E9F7C9D57EE}"/>
    <hyperlink ref="J13" r:id="rId11" xr:uid="{09AAD9C7-E0EB-41FD-8C5C-FE69D25C28E9}"/>
    <hyperlink ref="J14" r:id="rId12" xr:uid="{12E60946-3929-427A-9C0B-D0A2E8EF841B}"/>
    <hyperlink ref="J15" r:id="rId13" xr:uid="{8DABE907-71FB-497C-9DF3-EFD573FEC95B}"/>
    <hyperlink ref="J16" r:id="rId14" xr:uid="{EE376FF3-C9BA-4AA2-B70B-0327A962648F}"/>
    <hyperlink ref="J17" r:id="rId15" xr:uid="{55E268B7-3F50-4552-8034-7164A1A66F22}"/>
    <hyperlink ref="J18" r:id="rId16" xr:uid="{928DA667-5B2F-40D5-8E23-C1DD0E0EC542}"/>
    <hyperlink ref="K21" r:id="rId17" xr:uid="{CE0A0C98-1A20-45A6-8B5D-CDADB223C9A2}"/>
    <hyperlink ref="J25" r:id="rId18" xr:uid="{47C71CD1-6C02-4440-AE66-98705225A688}"/>
    <hyperlink ref="J26" r:id="rId19" xr:uid="{FA43F956-F4F2-47E5-BB82-CAD637C9ED23}"/>
    <hyperlink ref="J27" r:id="rId20" tooltip="Persistent link using digital object identifier" xr:uid="{036D6EA6-1AEB-4682-BA24-7D2FB7CE5AEB}"/>
    <hyperlink ref="J28" r:id="rId21" xr:uid="{81FB3336-5B09-4A31-84D2-1C5E310FA8B6}"/>
    <hyperlink ref="J29" r:id="rId22" tooltip="Persistent link using digital object identifier" xr:uid="{F53D6563-94A5-48FB-A4E3-2020BAFAFB1E}"/>
    <hyperlink ref="J30" r:id="rId23" tooltip="Persistent link using digital object identifier" xr:uid="{3444976D-23F2-4202-914F-4EC718EDAFD3}"/>
    <hyperlink ref="J31" r:id="rId24" xr:uid="{6036FD33-19AF-4F6B-BE52-2D0481F484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topLeftCell="A97" workbookViewId="0">
      <selection activeCell="D8" sqref="D8"/>
    </sheetView>
  </sheetViews>
  <sheetFormatPr defaultColWidth="9" defaultRowHeight="14.5"/>
  <cols>
    <col min="1" max="1" width="52.1796875" customWidth="1"/>
  </cols>
  <sheetData>
    <row r="1" spans="1:10">
      <c r="A1" t="s">
        <v>409</v>
      </c>
    </row>
    <row r="3" spans="1:10">
      <c r="A3" s="69" t="s">
        <v>385</v>
      </c>
      <c r="B3" t="s">
        <v>410</v>
      </c>
    </row>
    <row r="5" spans="1:10">
      <c r="A5" s="2" t="s">
        <v>411</v>
      </c>
      <c r="B5" t="s">
        <v>239</v>
      </c>
      <c r="C5" t="s">
        <v>412</v>
      </c>
      <c r="D5" t="s">
        <v>413</v>
      </c>
      <c r="E5" t="s">
        <v>414</v>
      </c>
      <c r="F5" t="s">
        <v>246</v>
      </c>
      <c r="G5" t="s">
        <v>415</v>
      </c>
      <c r="H5" t="s">
        <v>416</v>
      </c>
      <c r="I5" t="s">
        <v>417</v>
      </c>
      <c r="J5" t="s">
        <v>418</v>
      </c>
    </row>
    <row r="6" spans="1:10">
      <c r="A6" t="s">
        <v>419</v>
      </c>
      <c r="B6">
        <v>150000000</v>
      </c>
      <c r="C6">
        <v>10176000</v>
      </c>
      <c r="D6">
        <v>0</v>
      </c>
      <c r="E6">
        <v>0</v>
      </c>
      <c r="F6">
        <v>0</v>
      </c>
      <c r="G6">
        <v>6341800</v>
      </c>
      <c r="H6">
        <v>0</v>
      </c>
      <c r="I6">
        <v>0</v>
      </c>
      <c r="J6">
        <v>121643</v>
      </c>
    </row>
    <row r="7" spans="1:10">
      <c r="A7" t="s">
        <v>420</v>
      </c>
      <c r="B7">
        <v>576235814.29999995</v>
      </c>
      <c r="C7">
        <v>5500000</v>
      </c>
      <c r="D7">
        <v>1351812440</v>
      </c>
      <c r="E7">
        <v>0</v>
      </c>
      <c r="F7">
        <v>155986667</v>
      </c>
      <c r="G7">
        <v>3145804.8</v>
      </c>
      <c r="H7">
        <v>0</v>
      </c>
      <c r="I7">
        <v>0</v>
      </c>
      <c r="J7">
        <v>0</v>
      </c>
    </row>
    <row r="8" spans="1:10">
      <c r="A8" t="s">
        <v>421</v>
      </c>
      <c r="B8">
        <v>121375893.5</v>
      </c>
      <c r="C8">
        <v>868361.91</v>
      </c>
      <c r="D8">
        <v>433953151.80000001</v>
      </c>
      <c r="E8">
        <v>0</v>
      </c>
      <c r="F8">
        <v>0</v>
      </c>
      <c r="G8">
        <v>2730547.92</v>
      </c>
      <c r="H8">
        <v>20300</v>
      </c>
      <c r="I8">
        <v>0</v>
      </c>
      <c r="J8">
        <v>0</v>
      </c>
    </row>
    <row r="9" spans="1:10">
      <c r="A9" t="s">
        <v>422</v>
      </c>
      <c r="B9">
        <v>157942499</v>
      </c>
      <c r="C9">
        <v>1438333.3330000001</v>
      </c>
      <c r="D9">
        <v>509133151.80000001</v>
      </c>
      <c r="E9">
        <v>0</v>
      </c>
      <c r="F9">
        <v>0</v>
      </c>
      <c r="G9">
        <v>5571450</v>
      </c>
      <c r="H9">
        <v>158337</v>
      </c>
      <c r="I9">
        <v>0</v>
      </c>
      <c r="J9">
        <v>0</v>
      </c>
    </row>
    <row r="10" spans="1:10">
      <c r="A10" t="s">
        <v>423</v>
      </c>
      <c r="B10">
        <v>70693938.799999997</v>
      </c>
      <c r="C10">
        <v>0</v>
      </c>
      <c r="D10">
        <v>2832619030</v>
      </c>
      <c r="E10">
        <v>0</v>
      </c>
      <c r="F10">
        <v>0</v>
      </c>
      <c r="G10">
        <v>1699075.2749999999</v>
      </c>
      <c r="H10">
        <v>0</v>
      </c>
      <c r="I10">
        <v>0</v>
      </c>
      <c r="J10">
        <v>5360</v>
      </c>
    </row>
    <row r="11" spans="1:10">
      <c r="A11" t="s">
        <v>424</v>
      </c>
      <c r="B11">
        <v>215682962.5</v>
      </c>
      <c r="C11">
        <v>3596539.0490000001</v>
      </c>
      <c r="D11">
        <v>1025503555</v>
      </c>
      <c r="E11">
        <v>0</v>
      </c>
      <c r="F11">
        <v>0</v>
      </c>
      <c r="G11">
        <v>3897735.5989999999</v>
      </c>
      <c r="H11">
        <v>35727.4</v>
      </c>
      <c r="I11">
        <v>0</v>
      </c>
      <c r="J11">
        <v>25401</v>
      </c>
    </row>
    <row r="12" spans="1:10">
      <c r="A12" t="s">
        <v>425</v>
      </c>
      <c r="B12">
        <v>43456666.670000002</v>
      </c>
      <c r="C12">
        <v>78666.667000000001</v>
      </c>
      <c r="D12">
        <v>235233333.30000001</v>
      </c>
      <c r="E12">
        <v>0</v>
      </c>
      <c r="F12">
        <v>0</v>
      </c>
      <c r="G12">
        <v>764800</v>
      </c>
      <c r="H12">
        <v>0</v>
      </c>
      <c r="I12">
        <v>121</v>
      </c>
      <c r="J12">
        <v>33767</v>
      </c>
    </row>
    <row r="13" spans="1:10">
      <c r="A13" t="s">
        <v>426</v>
      </c>
      <c r="B13">
        <v>84600000</v>
      </c>
      <c r="C13">
        <v>504252.23599999998</v>
      </c>
      <c r="D13">
        <v>352800000</v>
      </c>
      <c r="E13">
        <v>0</v>
      </c>
      <c r="F13">
        <v>0</v>
      </c>
      <c r="G13">
        <v>1146000</v>
      </c>
      <c r="H13">
        <v>0</v>
      </c>
      <c r="I13">
        <v>115486</v>
      </c>
      <c r="J13">
        <v>0</v>
      </c>
    </row>
    <row r="14" spans="1:10">
      <c r="A14" t="s">
        <v>427</v>
      </c>
      <c r="B14">
        <v>72900000</v>
      </c>
      <c r="C14">
        <v>600000</v>
      </c>
      <c r="D14">
        <v>213360000</v>
      </c>
      <c r="E14">
        <v>0</v>
      </c>
      <c r="F14">
        <v>0</v>
      </c>
      <c r="G14">
        <v>762112.90319999994</v>
      </c>
      <c r="H14">
        <v>0</v>
      </c>
      <c r="I14">
        <v>67282</v>
      </c>
      <c r="J14">
        <v>0</v>
      </c>
    </row>
    <row r="15" spans="1:10">
      <c r="A15" t="s">
        <v>428</v>
      </c>
      <c r="B15">
        <v>4035483.8709999998</v>
      </c>
      <c r="C15">
        <v>376451.61300000001</v>
      </c>
      <c r="D15">
        <v>43029354.840000004</v>
      </c>
      <c r="E15">
        <v>0</v>
      </c>
      <c r="F15">
        <v>0</v>
      </c>
      <c r="G15">
        <v>378225.80650000001</v>
      </c>
      <c r="H15">
        <v>0</v>
      </c>
      <c r="I15">
        <v>19078</v>
      </c>
      <c r="J15">
        <v>0</v>
      </c>
    </row>
    <row r="16" spans="1:10">
      <c r="A16" t="s">
        <v>429</v>
      </c>
      <c r="B16">
        <v>72900000</v>
      </c>
      <c r="C16">
        <v>600000</v>
      </c>
      <c r="D16">
        <v>213360000</v>
      </c>
      <c r="E16">
        <v>0</v>
      </c>
      <c r="F16">
        <v>0</v>
      </c>
      <c r="G16">
        <v>762112.90319999994</v>
      </c>
      <c r="H16">
        <v>0</v>
      </c>
      <c r="I16">
        <v>67282</v>
      </c>
      <c r="J16">
        <v>0</v>
      </c>
    </row>
    <row r="17" spans="1:10">
      <c r="A17" t="s">
        <v>430</v>
      </c>
      <c r="B17">
        <v>34900000</v>
      </c>
      <c r="C17">
        <v>504252.23599999998</v>
      </c>
      <c r="D17">
        <v>165000000</v>
      </c>
      <c r="E17">
        <v>0</v>
      </c>
      <c r="F17">
        <v>0</v>
      </c>
      <c r="G17">
        <v>1146000</v>
      </c>
      <c r="H17">
        <v>0</v>
      </c>
      <c r="I17">
        <v>115486</v>
      </c>
      <c r="J17">
        <v>0</v>
      </c>
    </row>
    <row r="18" spans="1:10">
      <c r="A18" t="s">
        <v>431</v>
      </c>
      <c r="B18">
        <v>72900000</v>
      </c>
      <c r="C18">
        <v>600000</v>
      </c>
      <c r="D18">
        <v>213360000</v>
      </c>
      <c r="E18">
        <v>0</v>
      </c>
      <c r="F18">
        <v>0</v>
      </c>
      <c r="G18">
        <v>762112.90319999994</v>
      </c>
      <c r="H18">
        <v>0</v>
      </c>
      <c r="I18">
        <v>67282</v>
      </c>
      <c r="J18">
        <v>0</v>
      </c>
    </row>
    <row r="19" spans="1:10">
      <c r="A19" t="s">
        <v>432</v>
      </c>
      <c r="B19">
        <v>28969000</v>
      </c>
      <c r="C19">
        <v>652000</v>
      </c>
      <c r="D19">
        <v>64624500</v>
      </c>
      <c r="E19">
        <v>0</v>
      </c>
      <c r="F19">
        <v>0</v>
      </c>
      <c r="G19">
        <v>1051282.051</v>
      </c>
      <c r="H19">
        <v>0</v>
      </c>
      <c r="I19">
        <v>19078</v>
      </c>
      <c r="J19">
        <v>0</v>
      </c>
    </row>
    <row r="20" spans="1:10">
      <c r="A20" t="s">
        <v>433</v>
      </c>
      <c r="B20">
        <v>33420500</v>
      </c>
      <c r="C20">
        <v>262500</v>
      </c>
      <c r="D20">
        <v>89183500</v>
      </c>
      <c r="E20">
        <v>0</v>
      </c>
      <c r="F20">
        <v>0</v>
      </c>
      <c r="G20">
        <v>762112.90319999994</v>
      </c>
      <c r="H20">
        <v>0</v>
      </c>
      <c r="I20">
        <v>67282</v>
      </c>
      <c r="J20">
        <v>0</v>
      </c>
    </row>
    <row r="21" spans="1:10">
      <c r="A21" t="s">
        <v>434</v>
      </c>
      <c r="B21">
        <v>109200000</v>
      </c>
      <c r="C21">
        <v>504252.23599999998</v>
      </c>
      <c r="D21">
        <v>352800000</v>
      </c>
      <c r="E21">
        <v>0</v>
      </c>
      <c r="F21">
        <v>0</v>
      </c>
      <c r="G21">
        <v>1630005.94</v>
      </c>
      <c r="H21">
        <v>0</v>
      </c>
      <c r="I21">
        <v>122986</v>
      </c>
      <c r="J21">
        <v>0</v>
      </c>
    </row>
    <row r="22" spans="1:10">
      <c r="A22" t="s">
        <v>435</v>
      </c>
      <c r="B22">
        <v>94097872.340000004</v>
      </c>
      <c r="C22">
        <v>600000</v>
      </c>
      <c r="D22">
        <v>213360000</v>
      </c>
      <c r="E22">
        <v>0</v>
      </c>
      <c r="F22">
        <v>0</v>
      </c>
      <c r="G22">
        <v>1454112.9029999999</v>
      </c>
      <c r="H22">
        <v>0</v>
      </c>
      <c r="I22">
        <v>74782</v>
      </c>
      <c r="J22">
        <v>0</v>
      </c>
    </row>
    <row r="23" spans="1:10">
      <c r="A23" t="s">
        <v>436</v>
      </c>
      <c r="B23">
        <v>5208922.443</v>
      </c>
      <c r="C23">
        <v>376451.61300000001</v>
      </c>
      <c r="D23">
        <v>43029354.840000004</v>
      </c>
      <c r="E23">
        <v>0</v>
      </c>
      <c r="F23">
        <v>0</v>
      </c>
      <c r="G23">
        <v>1070225.8060000001</v>
      </c>
      <c r="H23">
        <v>0</v>
      </c>
      <c r="I23">
        <v>26578</v>
      </c>
      <c r="J23">
        <v>0</v>
      </c>
    </row>
    <row r="24" spans="1:10">
      <c r="A24" t="s">
        <v>437</v>
      </c>
      <c r="B24">
        <v>43138517.729999997</v>
      </c>
      <c r="C24">
        <v>262500</v>
      </c>
      <c r="D24">
        <v>89183500</v>
      </c>
      <c r="E24">
        <v>0</v>
      </c>
      <c r="F24">
        <v>0</v>
      </c>
      <c r="G24">
        <v>1454112.9029999999</v>
      </c>
      <c r="H24">
        <v>0</v>
      </c>
      <c r="I24">
        <v>74782</v>
      </c>
      <c r="J24">
        <v>0</v>
      </c>
    </row>
    <row r="25" spans="1:10">
      <c r="A25" t="s">
        <v>438</v>
      </c>
      <c r="B25">
        <v>84600000</v>
      </c>
      <c r="C25">
        <v>504252.23599999998</v>
      </c>
      <c r="D25">
        <v>352800000</v>
      </c>
      <c r="E25">
        <v>0</v>
      </c>
      <c r="F25">
        <v>0</v>
      </c>
      <c r="G25">
        <v>5590800</v>
      </c>
      <c r="H25">
        <v>0</v>
      </c>
      <c r="I25">
        <v>115486</v>
      </c>
      <c r="J25">
        <v>0</v>
      </c>
    </row>
    <row r="26" spans="1:10">
      <c r="A26" t="s">
        <v>439</v>
      </c>
      <c r="B26">
        <v>72900000</v>
      </c>
      <c r="C26">
        <v>600000</v>
      </c>
      <c r="D26">
        <v>213360000</v>
      </c>
      <c r="E26">
        <v>0</v>
      </c>
      <c r="F26">
        <v>0</v>
      </c>
      <c r="G26">
        <v>5206912.9029999999</v>
      </c>
      <c r="H26">
        <v>0</v>
      </c>
      <c r="I26">
        <v>67282</v>
      </c>
      <c r="J26">
        <v>0</v>
      </c>
    </row>
    <row r="27" spans="1:10">
      <c r="A27" t="s">
        <v>440</v>
      </c>
      <c r="B27">
        <v>4035483.8709999998</v>
      </c>
      <c r="C27">
        <v>376451.61300000001</v>
      </c>
      <c r="D27">
        <v>43029354.840000004</v>
      </c>
      <c r="E27">
        <v>0</v>
      </c>
      <c r="F27">
        <v>0</v>
      </c>
      <c r="G27">
        <v>4823025.8059999999</v>
      </c>
      <c r="H27">
        <v>0</v>
      </c>
      <c r="I27">
        <v>19078</v>
      </c>
      <c r="J27">
        <v>0</v>
      </c>
    </row>
    <row r="28" spans="1:10">
      <c r="A28" t="s">
        <v>441</v>
      </c>
      <c r="B28">
        <v>6181250</v>
      </c>
      <c r="C28">
        <v>50000</v>
      </c>
      <c r="D28">
        <v>243796875</v>
      </c>
      <c r="E28">
        <v>0</v>
      </c>
      <c r="F28">
        <v>0</v>
      </c>
      <c r="G28">
        <v>2937400</v>
      </c>
      <c r="H28">
        <v>0</v>
      </c>
      <c r="I28">
        <v>67282</v>
      </c>
      <c r="J28">
        <v>0</v>
      </c>
    </row>
    <row r="29" spans="1:10">
      <c r="A29" t="s">
        <v>442</v>
      </c>
      <c r="B29">
        <v>109200000</v>
      </c>
      <c r="C29">
        <v>504252.23599999998</v>
      </c>
      <c r="D29">
        <v>352800000</v>
      </c>
      <c r="E29">
        <v>0</v>
      </c>
      <c r="F29">
        <v>0</v>
      </c>
      <c r="G29">
        <v>6282800</v>
      </c>
      <c r="H29">
        <v>0</v>
      </c>
      <c r="I29">
        <v>122986</v>
      </c>
      <c r="J29">
        <v>0</v>
      </c>
    </row>
    <row r="30" spans="1:10">
      <c r="A30" t="s">
        <v>443</v>
      </c>
      <c r="B30">
        <v>94097872.340000004</v>
      </c>
      <c r="C30">
        <v>600000</v>
      </c>
      <c r="D30">
        <v>213360000</v>
      </c>
      <c r="E30">
        <v>0</v>
      </c>
      <c r="F30">
        <v>0</v>
      </c>
      <c r="G30">
        <v>5898912.9029999999</v>
      </c>
      <c r="H30">
        <v>0</v>
      </c>
      <c r="I30">
        <v>74782</v>
      </c>
      <c r="J30">
        <v>0</v>
      </c>
    </row>
    <row r="31" spans="1:10">
      <c r="A31" t="s">
        <v>444</v>
      </c>
      <c r="B31">
        <v>5208922.443</v>
      </c>
      <c r="C31">
        <v>376451.61300000001</v>
      </c>
      <c r="D31">
        <v>43029354.840000004</v>
      </c>
      <c r="E31">
        <v>0</v>
      </c>
      <c r="F31">
        <v>0</v>
      </c>
      <c r="G31">
        <v>5515025.8059999999</v>
      </c>
      <c r="H31">
        <v>0</v>
      </c>
      <c r="I31">
        <v>26578</v>
      </c>
      <c r="J31">
        <v>0</v>
      </c>
    </row>
    <row r="32" spans="1:10">
      <c r="A32" t="s">
        <v>445</v>
      </c>
      <c r="B32">
        <v>43138517.729999997</v>
      </c>
      <c r="C32">
        <v>262500</v>
      </c>
      <c r="D32">
        <v>243796875</v>
      </c>
      <c r="E32">
        <v>0</v>
      </c>
      <c r="F32">
        <v>0</v>
      </c>
      <c r="G32">
        <v>3629400</v>
      </c>
      <c r="H32">
        <v>0</v>
      </c>
      <c r="I32">
        <v>74782</v>
      </c>
      <c r="J32">
        <v>0</v>
      </c>
    </row>
    <row r="34" spans="1:10">
      <c r="A34" s="2" t="s">
        <v>446</v>
      </c>
      <c r="B34" t="s">
        <v>239</v>
      </c>
      <c r="C34" t="s">
        <v>412</v>
      </c>
      <c r="D34" t="s">
        <v>413</v>
      </c>
      <c r="E34" t="s">
        <v>414</v>
      </c>
      <c r="F34" t="s">
        <v>246</v>
      </c>
      <c r="G34" t="s">
        <v>415</v>
      </c>
      <c r="H34" t="s">
        <v>416</v>
      </c>
      <c r="I34" t="s">
        <v>417</v>
      </c>
      <c r="J34" t="s">
        <v>418</v>
      </c>
    </row>
    <row r="35" spans="1:10">
      <c r="A35" t="s">
        <v>447</v>
      </c>
      <c r="B35">
        <v>52266</v>
      </c>
      <c r="C35">
        <v>12883</v>
      </c>
      <c r="D35">
        <v>209137.5</v>
      </c>
      <c r="E35">
        <v>0</v>
      </c>
      <c r="F35">
        <v>1096.5</v>
      </c>
      <c r="G35">
        <v>0</v>
      </c>
      <c r="H35">
        <v>0</v>
      </c>
      <c r="I35">
        <v>0</v>
      </c>
      <c r="J35">
        <v>0</v>
      </c>
    </row>
    <row r="36" spans="1:10">
      <c r="A36" t="s">
        <v>448</v>
      </c>
      <c r="B36">
        <v>0</v>
      </c>
      <c r="C36">
        <v>0</v>
      </c>
      <c r="D36">
        <v>17500</v>
      </c>
      <c r="E36">
        <v>2300</v>
      </c>
      <c r="F36">
        <v>0</v>
      </c>
      <c r="G36">
        <v>11650</v>
      </c>
      <c r="H36">
        <v>0</v>
      </c>
      <c r="I36">
        <v>0</v>
      </c>
      <c r="J36">
        <v>14050</v>
      </c>
    </row>
    <row r="37" spans="1:10">
      <c r="A37" t="s">
        <v>449</v>
      </c>
      <c r="B37">
        <v>802.33333333333337</v>
      </c>
      <c r="C37">
        <v>0</v>
      </c>
      <c r="D37">
        <v>0</v>
      </c>
      <c r="E37">
        <v>19.333333333333332</v>
      </c>
      <c r="F37">
        <v>0</v>
      </c>
      <c r="G37">
        <v>1487.6666666666667</v>
      </c>
      <c r="H37">
        <v>0</v>
      </c>
      <c r="I37">
        <v>0</v>
      </c>
      <c r="J37">
        <v>0</v>
      </c>
    </row>
    <row r="38" spans="1:10">
      <c r="A38" t="s">
        <v>450</v>
      </c>
      <c r="B38">
        <v>0</v>
      </c>
      <c r="C38">
        <v>823.58333333333326</v>
      </c>
      <c r="D38">
        <v>0</v>
      </c>
      <c r="E38">
        <v>1346.9166666666665</v>
      </c>
      <c r="F38">
        <v>0</v>
      </c>
      <c r="G38">
        <v>662.91666666666663</v>
      </c>
      <c r="H38">
        <v>0</v>
      </c>
      <c r="I38">
        <v>0</v>
      </c>
      <c r="J38">
        <v>0</v>
      </c>
    </row>
    <row r="39" spans="1:10">
      <c r="A39" t="s">
        <v>451</v>
      </c>
      <c r="B39">
        <v>0</v>
      </c>
      <c r="C39">
        <v>981</v>
      </c>
      <c r="D39">
        <v>0</v>
      </c>
      <c r="E39">
        <v>378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452</v>
      </c>
      <c r="B40">
        <v>177</v>
      </c>
      <c r="C40">
        <v>531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2" spans="1:10">
      <c r="A42" s="2" t="s">
        <v>453</v>
      </c>
      <c r="B42" t="s">
        <v>239</v>
      </c>
      <c r="C42" t="s">
        <v>412</v>
      </c>
      <c r="D42" t="s">
        <v>413</v>
      </c>
      <c r="E42" t="s">
        <v>414</v>
      </c>
      <c r="F42" t="s">
        <v>246</v>
      </c>
      <c r="G42" t="s">
        <v>415</v>
      </c>
      <c r="H42" t="s">
        <v>416</v>
      </c>
      <c r="I42" t="s">
        <v>417</v>
      </c>
      <c r="J42" t="s">
        <v>418</v>
      </c>
    </row>
    <row r="43" spans="1:10">
      <c r="A43" t="s">
        <v>454</v>
      </c>
      <c r="B43">
        <v>14652.055</v>
      </c>
      <c r="C43">
        <v>33204.29</v>
      </c>
      <c r="D43">
        <v>123900</v>
      </c>
      <c r="E43">
        <v>302.03499999999997</v>
      </c>
      <c r="F43">
        <v>0.05</v>
      </c>
      <c r="G43">
        <v>4611.3880000000008</v>
      </c>
      <c r="H43">
        <v>0</v>
      </c>
      <c r="I43">
        <v>0</v>
      </c>
      <c r="J43">
        <v>2E-3</v>
      </c>
    </row>
    <row r="44" spans="1:10">
      <c r="A44" t="s">
        <v>455</v>
      </c>
      <c r="B44">
        <v>1814.5833333333333</v>
      </c>
      <c r="C44">
        <v>1228.3333333333335</v>
      </c>
      <c r="D44">
        <v>127020.83333333333</v>
      </c>
      <c r="E44">
        <v>0</v>
      </c>
      <c r="F44">
        <v>0</v>
      </c>
      <c r="G44">
        <v>279.16666666666669</v>
      </c>
      <c r="H44">
        <v>0</v>
      </c>
      <c r="I44">
        <v>0</v>
      </c>
      <c r="J44">
        <v>0</v>
      </c>
    </row>
    <row r="45" spans="1:10">
      <c r="A45" t="s">
        <v>456</v>
      </c>
      <c r="B45">
        <v>38.420134623730256</v>
      </c>
      <c r="C45">
        <v>1228.3333333333335</v>
      </c>
      <c r="D45">
        <v>476.32812500000006</v>
      </c>
      <c r="E45">
        <v>0</v>
      </c>
      <c r="F45">
        <v>0</v>
      </c>
      <c r="G45">
        <v>0.54394161249061534</v>
      </c>
      <c r="H45">
        <v>0</v>
      </c>
      <c r="I45">
        <v>0</v>
      </c>
      <c r="J45">
        <v>0</v>
      </c>
    </row>
    <row r="46" spans="1:10">
      <c r="A46" t="s">
        <v>457</v>
      </c>
      <c r="B46">
        <v>295999</v>
      </c>
      <c r="C46">
        <v>496.75</v>
      </c>
      <c r="D46">
        <v>648000</v>
      </c>
      <c r="E46">
        <v>0</v>
      </c>
      <c r="F46">
        <v>0</v>
      </c>
      <c r="G46">
        <v>76047</v>
      </c>
      <c r="H46">
        <v>0</v>
      </c>
      <c r="I46">
        <v>0</v>
      </c>
      <c r="J46">
        <v>0</v>
      </c>
    </row>
    <row r="47" spans="1:10">
      <c r="A47" t="s">
        <v>458</v>
      </c>
      <c r="B47">
        <v>22658.833333333332</v>
      </c>
      <c r="C47">
        <v>21</v>
      </c>
      <c r="D47">
        <v>46825.555555555555</v>
      </c>
      <c r="E47">
        <v>0</v>
      </c>
      <c r="F47">
        <v>0</v>
      </c>
      <c r="G47">
        <v>6877.2699999999995</v>
      </c>
      <c r="H47">
        <v>0</v>
      </c>
      <c r="I47">
        <v>0</v>
      </c>
      <c r="J47">
        <v>8.8333333333333333E-2</v>
      </c>
    </row>
    <row r="48" spans="1:10">
      <c r="A48" t="s">
        <v>459</v>
      </c>
      <c r="B48">
        <v>479.755</v>
      </c>
      <c r="C48">
        <v>84.905000000000001</v>
      </c>
      <c r="D48">
        <v>175.59583333333333</v>
      </c>
      <c r="E48">
        <v>0</v>
      </c>
      <c r="F48">
        <v>0</v>
      </c>
      <c r="G48">
        <v>13.4</v>
      </c>
      <c r="H48">
        <v>0</v>
      </c>
      <c r="I48">
        <v>0</v>
      </c>
      <c r="J48">
        <v>0</v>
      </c>
    </row>
    <row r="50" spans="1:10">
      <c r="A50" s="2" t="s">
        <v>460</v>
      </c>
      <c r="B50" t="s">
        <v>239</v>
      </c>
      <c r="C50" t="s">
        <v>412</v>
      </c>
      <c r="D50" t="s">
        <v>413</v>
      </c>
      <c r="E50" t="s">
        <v>414</v>
      </c>
      <c r="F50" t="s">
        <v>246</v>
      </c>
      <c r="G50" t="s">
        <v>415</v>
      </c>
      <c r="H50" t="s">
        <v>416</v>
      </c>
      <c r="I50" t="s">
        <v>417</v>
      </c>
      <c r="J50" t="s">
        <v>418</v>
      </c>
    </row>
    <row r="51" spans="1:10">
      <c r="A51" t="s">
        <v>461</v>
      </c>
      <c r="B51">
        <v>0.60858277299999997</v>
      </c>
      <c r="C51">
        <v>0.20239317000000001</v>
      </c>
      <c r="D51">
        <v>0</v>
      </c>
      <c r="E51">
        <v>0</v>
      </c>
      <c r="F51">
        <v>0</v>
      </c>
      <c r="G51">
        <v>1.3558201000000001E-2</v>
      </c>
      <c r="H51">
        <v>6.4161590000000003E-3</v>
      </c>
      <c r="I51">
        <v>0</v>
      </c>
      <c r="J51">
        <v>0</v>
      </c>
    </row>
    <row r="52" spans="1:10">
      <c r="A52" t="s">
        <v>462</v>
      </c>
      <c r="B52">
        <v>0.984282243</v>
      </c>
      <c r="C52">
        <v>7.6897049999999998E-3</v>
      </c>
      <c r="D52">
        <v>0</v>
      </c>
      <c r="E52">
        <v>0</v>
      </c>
      <c r="F52">
        <v>0</v>
      </c>
      <c r="G52">
        <v>8.0280520000000008E-3</v>
      </c>
      <c r="H52">
        <v>0</v>
      </c>
      <c r="I52">
        <v>0</v>
      </c>
      <c r="J52">
        <v>0</v>
      </c>
    </row>
    <row r="53" spans="1:10">
      <c r="A53" t="s">
        <v>463</v>
      </c>
      <c r="B53">
        <v>0.96167444499999999</v>
      </c>
      <c r="C53">
        <v>4.7140899999999998E-3</v>
      </c>
      <c r="D53">
        <v>0</v>
      </c>
      <c r="E53">
        <v>0</v>
      </c>
      <c r="F53">
        <v>0</v>
      </c>
      <c r="G53">
        <v>1.7677839000000001E-2</v>
      </c>
      <c r="H53">
        <v>0</v>
      </c>
      <c r="I53">
        <v>0</v>
      </c>
      <c r="J53">
        <v>0</v>
      </c>
    </row>
    <row r="54" spans="1:10">
      <c r="A54" t="s">
        <v>464</v>
      </c>
      <c r="B54">
        <v>0.1</v>
      </c>
      <c r="C54">
        <v>2.5500000000000002E-3</v>
      </c>
      <c r="D54">
        <v>0</v>
      </c>
      <c r="E54">
        <v>0.21</v>
      </c>
      <c r="F54">
        <v>0</v>
      </c>
      <c r="G54">
        <v>1.769956E-2</v>
      </c>
      <c r="H54">
        <v>4.7101968000000001E-2</v>
      </c>
      <c r="I54">
        <v>2.5500000000000002E-3</v>
      </c>
      <c r="J54">
        <v>0</v>
      </c>
    </row>
    <row r="55" spans="1:10">
      <c r="A55" t="s">
        <v>465</v>
      </c>
      <c r="B55">
        <v>0</v>
      </c>
      <c r="C55">
        <v>0</v>
      </c>
      <c r="D55">
        <v>0</v>
      </c>
      <c r="E55">
        <v>0.1</v>
      </c>
      <c r="F55">
        <v>0.02</v>
      </c>
      <c r="G55">
        <v>0</v>
      </c>
      <c r="H55">
        <v>0</v>
      </c>
      <c r="I55">
        <v>0</v>
      </c>
      <c r="J55">
        <v>0.61</v>
      </c>
    </row>
    <row r="56" spans="1:10">
      <c r="A56" t="s">
        <v>466</v>
      </c>
      <c r="B56">
        <v>0.2147</v>
      </c>
      <c r="C56">
        <v>3.7400000000000003E-2</v>
      </c>
      <c r="D56">
        <v>0</v>
      </c>
      <c r="E56">
        <v>8.3987500000000007E-2</v>
      </c>
      <c r="F56">
        <v>0</v>
      </c>
      <c r="G56">
        <v>0.1003</v>
      </c>
      <c r="H56">
        <v>0</v>
      </c>
      <c r="I56">
        <v>0</v>
      </c>
      <c r="J56">
        <v>0</v>
      </c>
    </row>
    <row r="57" spans="1:10">
      <c r="A57" t="s">
        <v>467</v>
      </c>
      <c r="B57">
        <v>0.2147</v>
      </c>
      <c r="C57">
        <v>3.7400000000000003E-2</v>
      </c>
      <c r="D57">
        <v>0</v>
      </c>
      <c r="E57">
        <v>8.3987500000000007E-2</v>
      </c>
      <c r="F57">
        <v>0</v>
      </c>
      <c r="G57">
        <v>0.1003</v>
      </c>
      <c r="H57">
        <v>0</v>
      </c>
      <c r="I57">
        <v>7.6449528000000003E-2</v>
      </c>
      <c r="J57">
        <v>0</v>
      </c>
    </row>
    <row r="58" spans="1:10">
      <c r="A58" t="s">
        <v>468</v>
      </c>
      <c r="B58">
        <v>7.4132989999999999E-3</v>
      </c>
      <c r="C58">
        <v>0.243716195</v>
      </c>
      <c r="D58">
        <v>0</v>
      </c>
      <c r="E58">
        <v>0</v>
      </c>
      <c r="F58">
        <v>0</v>
      </c>
      <c r="G58">
        <v>0.124721604</v>
      </c>
      <c r="H58">
        <v>0</v>
      </c>
      <c r="I58">
        <v>3.1307667999999997E-2</v>
      </c>
      <c r="J58">
        <v>0</v>
      </c>
    </row>
    <row r="59" spans="1:10">
      <c r="A59" t="s">
        <v>469</v>
      </c>
      <c r="B59">
        <v>0.14088050299999999</v>
      </c>
      <c r="C59">
        <v>0.05</v>
      </c>
      <c r="D59">
        <v>0</v>
      </c>
      <c r="E59">
        <v>0.1</v>
      </c>
      <c r="F59">
        <v>0</v>
      </c>
      <c r="G59">
        <v>0.05</v>
      </c>
      <c r="H59">
        <v>0</v>
      </c>
      <c r="I59">
        <v>0</v>
      </c>
      <c r="J59">
        <v>0</v>
      </c>
    </row>
    <row r="60" spans="1:10">
      <c r="A60" t="s">
        <v>470</v>
      </c>
      <c r="B60">
        <v>4.4999999999999998E-2</v>
      </c>
      <c r="C60">
        <v>0.13984920000000001</v>
      </c>
      <c r="D60">
        <v>0</v>
      </c>
      <c r="E60">
        <v>6.1874199999999997E-2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471</v>
      </c>
      <c r="B61">
        <v>0.15</v>
      </c>
      <c r="C61">
        <v>0</v>
      </c>
      <c r="D61">
        <v>0</v>
      </c>
      <c r="E61">
        <v>4.2999999999999997E-2</v>
      </c>
      <c r="F61">
        <v>0</v>
      </c>
      <c r="G61">
        <v>0.01</v>
      </c>
      <c r="H61">
        <v>0</v>
      </c>
      <c r="I61">
        <v>0</v>
      </c>
      <c r="J61">
        <v>0</v>
      </c>
    </row>
    <row r="62" spans="1:10">
      <c r="A62" t="s">
        <v>472</v>
      </c>
      <c r="B62">
        <v>0.106</v>
      </c>
      <c r="C62">
        <v>0</v>
      </c>
      <c r="D62">
        <v>0</v>
      </c>
      <c r="E62">
        <v>4.2999999999999997E-2</v>
      </c>
      <c r="F62">
        <v>0</v>
      </c>
      <c r="G62">
        <v>8.0000000000000002E-3</v>
      </c>
      <c r="H62">
        <v>0</v>
      </c>
      <c r="I62">
        <v>0</v>
      </c>
      <c r="J62">
        <v>0</v>
      </c>
    </row>
    <row r="63" spans="1:10">
      <c r="A63" t="s">
        <v>473</v>
      </c>
      <c r="B63">
        <v>0.128</v>
      </c>
      <c r="C63">
        <v>0.22700000000000001</v>
      </c>
      <c r="D63">
        <v>0</v>
      </c>
      <c r="E63">
        <v>0.08</v>
      </c>
      <c r="F63">
        <v>4.2999999999999997E-2</v>
      </c>
      <c r="G63">
        <v>3.4000000000000002E-2</v>
      </c>
      <c r="H63">
        <v>0</v>
      </c>
      <c r="I63">
        <v>0</v>
      </c>
      <c r="J63">
        <v>0</v>
      </c>
    </row>
    <row r="64" spans="1:10">
      <c r="A64" t="s">
        <v>474</v>
      </c>
      <c r="B64">
        <v>0.30399999999999999</v>
      </c>
      <c r="C64">
        <v>0.11133430800000001</v>
      </c>
      <c r="D64">
        <v>0</v>
      </c>
      <c r="E64">
        <v>2.1999999999999999E-2</v>
      </c>
      <c r="F64">
        <v>0</v>
      </c>
      <c r="G64">
        <v>3.5000000000000003E-2</v>
      </c>
      <c r="H64">
        <v>0</v>
      </c>
      <c r="I64">
        <v>0</v>
      </c>
      <c r="J64">
        <v>0</v>
      </c>
    </row>
    <row r="65" spans="1:10">
      <c r="A65" t="s">
        <v>475</v>
      </c>
      <c r="B65">
        <v>5.3E-3</v>
      </c>
      <c r="C65">
        <v>0.18379999999999999</v>
      </c>
      <c r="D65">
        <v>0</v>
      </c>
      <c r="E65">
        <v>4.07E-2</v>
      </c>
      <c r="F65">
        <v>0</v>
      </c>
      <c r="G65">
        <v>7.8200000000000006E-2</v>
      </c>
      <c r="H65">
        <v>0</v>
      </c>
      <c r="I65">
        <v>0</v>
      </c>
      <c r="J65">
        <v>0</v>
      </c>
    </row>
    <row r="66" spans="1:10">
      <c r="A66" t="s">
        <v>476</v>
      </c>
      <c r="B66">
        <v>5.3E-3</v>
      </c>
      <c r="C66">
        <v>0.18379999999999999</v>
      </c>
      <c r="D66">
        <v>0</v>
      </c>
      <c r="E66">
        <v>4.07E-2</v>
      </c>
      <c r="F66">
        <v>0</v>
      </c>
      <c r="G66">
        <v>7.8200000000000006E-2</v>
      </c>
      <c r="H66">
        <v>0</v>
      </c>
      <c r="I66">
        <v>2.0989311E-2</v>
      </c>
      <c r="J66">
        <v>0</v>
      </c>
    </row>
    <row r="67" spans="1:10">
      <c r="A67" t="s">
        <v>477</v>
      </c>
      <c r="B67">
        <v>0</v>
      </c>
      <c r="C67">
        <v>0</v>
      </c>
      <c r="D67">
        <v>0</v>
      </c>
      <c r="E67">
        <v>0.30573170700000002</v>
      </c>
      <c r="F67">
        <v>0</v>
      </c>
      <c r="G67">
        <v>9.3719512000000005E-2</v>
      </c>
      <c r="H67">
        <v>0</v>
      </c>
      <c r="I67">
        <v>9.3597560000000003E-3</v>
      </c>
      <c r="J67">
        <v>0</v>
      </c>
    </row>
    <row r="68" spans="1:10">
      <c r="A68" t="s">
        <v>478</v>
      </c>
      <c r="B68">
        <v>0.94838450799999996</v>
      </c>
      <c r="C68">
        <v>3.2266859999999999E-3</v>
      </c>
      <c r="D68">
        <v>0</v>
      </c>
      <c r="E68">
        <v>0</v>
      </c>
      <c r="F68">
        <v>0</v>
      </c>
      <c r="G68">
        <v>2.1738769000000002E-2</v>
      </c>
      <c r="H68">
        <v>0</v>
      </c>
      <c r="I68">
        <v>0</v>
      </c>
      <c r="J68">
        <v>0</v>
      </c>
    </row>
    <row r="70" spans="1:10">
      <c r="A70" s="2" t="s">
        <v>479</v>
      </c>
      <c r="B70" t="s">
        <v>480</v>
      </c>
    </row>
    <row r="71" spans="1:10">
      <c r="A71" t="s">
        <v>461</v>
      </c>
      <c r="B71">
        <v>60</v>
      </c>
    </row>
    <row r="72" spans="1:10">
      <c r="A72" t="s">
        <v>462</v>
      </c>
      <c r="B72">
        <v>32.5</v>
      </c>
    </row>
    <row r="73" spans="1:10">
      <c r="A73" t="s">
        <v>463</v>
      </c>
      <c r="B73">
        <v>6.36</v>
      </c>
    </row>
    <row r="74" spans="1:10">
      <c r="A74" t="s">
        <v>464</v>
      </c>
      <c r="B74">
        <v>13.3</v>
      </c>
    </row>
    <row r="75" spans="1:10">
      <c r="A75" t="s">
        <v>465</v>
      </c>
      <c r="B75">
        <v>20</v>
      </c>
    </row>
    <row r="76" spans="1:10">
      <c r="A76" t="s">
        <v>466</v>
      </c>
      <c r="B76">
        <v>8.26</v>
      </c>
    </row>
    <row r="77" spans="1:10">
      <c r="A77" t="s">
        <v>467</v>
      </c>
      <c r="B77">
        <v>5.41</v>
      </c>
    </row>
    <row r="78" spans="1:10">
      <c r="A78" t="s">
        <v>468</v>
      </c>
      <c r="B78">
        <v>4.3499999999999996</v>
      </c>
    </row>
    <row r="79" spans="1:10">
      <c r="A79" t="s">
        <v>469</v>
      </c>
      <c r="B79">
        <v>8.35</v>
      </c>
    </row>
    <row r="80" spans="1:10">
      <c r="A80" t="s">
        <v>470</v>
      </c>
      <c r="B80">
        <v>15.38</v>
      </c>
    </row>
    <row r="81" spans="1:2">
      <c r="A81" t="s">
        <v>471</v>
      </c>
      <c r="B81">
        <v>25</v>
      </c>
    </row>
    <row r="82" spans="1:2">
      <c r="A82" t="s">
        <v>472</v>
      </c>
      <c r="B82">
        <v>40</v>
      </c>
    </row>
    <row r="83" spans="1:2">
      <c r="A83" t="s">
        <v>473</v>
      </c>
      <c r="B83">
        <v>5</v>
      </c>
    </row>
    <row r="84" spans="1:2">
      <c r="A84" t="s">
        <v>474</v>
      </c>
      <c r="B84">
        <v>5.38</v>
      </c>
    </row>
    <row r="85" spans="1:2">
      <c r="A85" t="s">
        <v>475</v>
      </c>
      <c r="B85">
        <v>3.05</v>
      </c>
    </row>
    <row r="86" spans="1:2">
      <c r="A86" t="s">
        <v>476</v>
      </c>
      <c r="B86">
        <v>3.35</v>
      </c>
    </row>
    <row r="87" spans="1:2">
      <c r="A87" t="s">
        <v>477</v>
      </c>
      <c r="B87">
        <v>2.75</v>
      </c>
    </row>
    <row r="88" spans="1:2">
      <c r="A88" t="s">
        <v>478</v>
      </c>
      <c r="B88">
        <v>26.8</v>
      </c>
    </row>
  </sheetData>
  <hyperlinks>
    <hyperlink ref="A3" r:id="rId1" xr:uid="{8E2612F1-965E-4E06-8F17-E44B600ACCF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C614-92E2-4146-8ADB-309F903E1DBD}">
  <dimension ref="A1:X858"/>
  <sheetViews>
    <sheetView topLeftCell="D1" zoomScale="55" zoomScaleNormal="55" workbookViewId="0">
      <selection activeCell="R18" sqref="R17:R18"/>
    </sheetView>
  </sheetViews>
  <sheetFormatPr defaultRowHeight="14.5"/>
  <cols>
    <col min="1" max="1" width="25.54296875" customWidth="1"/>
    <col min="2" max="2" width="15" customWidth="1"/>
    <col min="4" max="5" width="11.26953125" customWidth="1"/>
    <col min="7" max="10" width="22.26953125" customWidth="1"/>
    <col min="17" max="17" width="16.54296875" bestFit="1" customWidth="1"/>
    <col min="18" max="18" width="24.26953125" bestFit="1" customWidth="1"/>
    <col min="19" max="19" width="9.1796875" bestFit="1" customWidth="1"/>
    <col min="20" max="20" width="21.26953125" bestFit="1" customWidth="1"/>
    <col min="21" max="21" width="23.81640625" bestFit="1" customWidth="1"/>
    <col min="23" max="23" width="16.54296875" bestFit="1" customWidth="1"/>
  </cols>
  <sheetData>
    <row r="1" spans="1:24">
      <c r="A1" s="71" t="s">
        <v>481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Q1" s="71" t="s">
        <v>482</v>
      </c>
      <c r="R1" s="71" t="s">
        <v>482</v>
      </c>
      <c r="S1" s="71" t="s">
        <v>483</v>
      </c>
      <c r="T1" s="71" t="s">
        <v>484</v>
      </c>
      <c r="U1" s="71" t="s">
        <v>485</v>
      </c>
      <c r="W1" s="71" t="s">
        <v>486</v>
      </c>
      <c r="X1" s="71" t="s">
        <v>487</v>
      </c>
    </row>
    <row r="2" spans="1:24">
      <c r="A2" s="71" t="s">
        <v>488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71" t="s">
        <v>486</v>
      </c>
      <c r="R2" s="22" t="s">
        <v>148</v>
      </c>
      <c r="S2" s="71" t="s">
        <v>241</v>
      </c>
      <c r="T2" s="115">
        <v>13200</v>
      </c>
      <c r="U2" s="71" t="s">
        <v>489</v>
      </c>
      <c r="W2" s="71" t="s">
        <v>490</v>
      </c>
      <c r="X2" s="71" t="s">
        <v>491</v>
      </c>
    </row>
    <row r="3" spans="1:24">
      <c r="A3" s="72" t="s">
        <v>492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Q3" s="71" t="s">
        <v>486</v>
      </c>
      <c r="R3" s="22" t="s">
        <v>148</v>
      </c>
      <c r="S3" s="71" t="s">
        <v>233</v>
      </c>
      <c r="T3" s="115">
        <v>38717</v>
      </c>
      <c r="U3" s="71" t="s">
        <v>489</v>
      </c>
      <c r="W3" s="71" t="s">
        <v>493</v>
      </c>
      <c r="X3" s="71" t="s">
        <v>494</v>
      </c>
    </row>
    <row r="4" spans="1:24">
      <c r="A4" s="73" t="s">
        <v>495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Q4" s="71" t="s">
        <v>486</v>
      </c>
      <c r="R4" s="22" t="s">
        <v>148</v>
      </c>
      <c r="S4" s="71" t="s">
        <v>233</v>
      </c>
      <c r="T4" s="115">
        <v>41456</v>
      </c>
      <c r="U4" s="71" t="s">
        <v>496</v>
      </c>
      <c r="W4" s="71" t="s">
        <v>497</v>
      </c>
      <c r="X4" s="71" t="s">
        <v>498</v>
      </c>
    </row>
    <row r="5" spans="1:24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Q5" s="71" t="s">
        <v>486</v>
      </c>
      <c r="R5" s="22" t="s">
        <v>148</v>
      </c>
      <c r="S5" s="71" t="s">
        <v>233</v>
      </c>
      <c r="T5" s="115">
        <v>60070</v>
      </c>
      <c r="U5" s="71" t="s">
        <v>489</v>
      </c>
      <c r="W5" s="71" t="s">
        <v>499</v>
      </c>
      <c r="X5" s="71" t="s">
        <v>500</v>
      </c>
    </row>
    <row r="6" spans="1:24" s="88" customFormat="1">
      <c r="A6" s="89" t="s">
        <v>501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Q6" s="71" t="s">
        <v>486</v>
      </c>
      <c r="R6" s="22" t="s">
        <v>148</v>
      </c>
      <c r="S6" s="71" t="s">
        <v>233</v>
      </c>
      <c r="T6" s="115">
        <v>64320</v>
      </c>
      <c r="U6" s="71" t="s">
        <v>496</v>
      </c>
      <c r="W6" s="71" t="s">
        <v>502</v>
      </c>
      <c r="X6" s="71" t="s">
        <v>503</v>
      </c>
    </row>
    <row r="7" spans="1:24" ht="15.5">
      <c r="A7" s="74" t="s">
        <v>504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Q7" s="71" t="s">
        <v>486</v>
      </c>
      <c r="R7" s="22" t="s">
        <v>148</v>
      </c>
      <c r="S7" s="71" t="s">
        <v>240</v>
      </c>
      <c r="T7" s="115">
        <v>3320</v>
      </c>
      <c r="U7" s="71" t="s">
        <v>489</v>
      </c>
      <c r="W7" s="71" t="s">
        <v>505</v>
      </c>
      <c r="X7" s="71" t="s">
        <v>506</v>
      </c>
    </row>
    <row r="8" spans="1:24" ht="15.5">
      <c r="A8" s="74" t="s">
        <v>507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Q8" s="71" t="s">
        <v>486</v>
      </c>
      <c r="R8" s="22" t="s">
        <v>148</v>
      </c>
      <c r="S8" s="71" t="s">
        <v>240</v>
      </c>
      <c r="T8" s="115">
        <v>3000</v>
      </c>
      <c r="U8" s="71" t="s">
        <v>496</v>
      </c>
      <c r="W8" s="71" t="s">
        <v>508</v>
      </c>
      <c r="X8" s="71" t="s">
        <v>509</v>
      </c>
    </row>
    <row r="9" spans="1:24">
      <c r="A9" s="69" t="s">
        <v>510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Q9" s="71" t="s">
        <v>486</v>
      </c>
      <c r="R9" s="22" t="s">
        <v>148</v>
      </c>
      <c r="S9" s="71" t="s">
        <v>240</v>
      </c>
      <c r="T9" s="115">
        <v>4700</v>
      </c>
      <c r="U9" s="71" t="s">
        <v>511</v>
      </c>
    </row>
    <row r="10" spans="1:24">
      <c r="A10" s="71" t="s">
        <v>512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Q10" s="71" t="s">
        <v>486</v>
      </c>
      <c r="R10" s="22" t="s">
        <v>148</v>
      </c>
      <c r="S10" s="71" t="s">
        <v>240</v>
      </c>
      <c r="T10" s="115">
        <v>5761</v>
      </c>
      <c r="U10" s="71" t="s">
        <v>513</v>
      </c>
    </row>
    <row r="11" spans="1:24">
      <c r="A11" s="71" t="s">
        <v>514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Q11" s="71" t="s">
        <v>486</v>
      </c>
      <c r="R11" s="22" t="s">
        <v>148</v>
      </c>
      <c r="S11" s="71" t="s">
        <v>240</v>
      </c>
      <c r="T11" s="115">
        <v>2994</v>
      </c>
      <c r="U11" s="71" t="s">
        <v>513</v>
      </c>
    </row>
    <row r="12" spans="1:24">
      <c r="A12" s="71"/>
      <c r="B12" s="71" t="s">
        <v>515</v>
      </c>
      <c r="C12" s="71" t="s">
        <v>516</v>
      </c>
      <c r="D12" s="71" t="s">
        <v>517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Q12" s="71" t="s">
        <v>486</v>
      </c>
      <c r="R12" s="22" t="s">
        <v>148</v>
      </c>
      <c r="S12" s="71" t="s">
        <v>240</v>
      </c>
      <c r="T12" s="115">
        <v>6759</v>
      </c>
      <c r="U12" s="71" t="s">
        <v>513</v>
      </c>
    </row>
    <row r="13" spans="1:24">
      <c r="A13" s="71" t="s">
        <v>413</v>
      </c>
      <c r="B13" s="71">
        <v>20067</v>
      </c>
      <c r="C13" s="72">
        <v>401340</v>
      </c>
      <c r="D13" s="71" t="s">
        <v>518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Q13" s="71" t="s">
        <v>486</v>
      </c>
      <c r="R13" s="22" t="s">
        <v>148</v>
      </c>
      <c r="S13" s="71" t="s">
        <v>240</v>
      </c>
      <c r="T13" s="115">
        <v>2540</v>
      </c>
      <c r="U13" s="71" t="s">
        <v>513</v>
      </c>
    </row>
    <row r="14" spans="1:24">
      <c r="A14" s="71" t="s">
        <v>519</v>
      </c>
      <c r="B14" s="71">
        <v>6024</v>
      </c>
      <c r="C14" s="72">
        <v>120480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Q14" s="71" t="s">
        <v>486</v>
      </c>
      <c r="R14" s="22" t="s">
        <v>148</v>
      </c>
      <c r="S14" s="71" t="s">
        <v>240</v>
      </c>
      <c r="T14" s="115">
        <v>3538</v>
      </c>
      <c r="U14" s="71" t="s">
        <v>513</v>
      </c>
    </row>
    <row r="15" spans="1:24">
      <c r="A15" s="71" t="s">
        <v>240</v>
      </c>
      <c r="B15" s="71">
        <v>83</v>
      </c>
      <c r="C15" s="71">
        <v>1660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Q15" s="71" t="s">
        <v>486</v>
      </c>
      <c r="R15" s="22" t="s">
        <v>148</v>
      </c>
      <c r="S15" s="71" t="s">
        <v>520</v>
      </c>
      <c r="T15" s="115">
        <v>12</v>
      </c>
      <c r="U15" s="71" t="s">
        <v>521</v>
      </c>
    </row>
    <row r="16" spans="1:24">
      <c r="A16" s="71" t="s">
        <v>522</v>
      </c>
      <c r="B16" s="71">
        <v>2</v>
      </c>
      <c r="C16" s="71">
        <v>40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Q16" s="71" t="s">
        <v>486</v>
      </c>
      <c r="R16" s="22" t="s">
        <v>148</v>
      </c>
      <c r="S16" s="71" t="s">
        <v>520</v>
      </c>
      <c r="T16" s="115">
        <v>28</v>
      </c>
      <c r="U16" s="71" t="s">
        <v>523</v>
      </c>
    </row>
    <row r="17" spans="1:21">
      <c r="A17" s="71" t="s">
        <v>524</v>
      </c>
      <c r="B17" s="71">
        <v>85</v>
      </c>
      <c r="C17" s="72">
        <v>1700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Q17" s="71" t="s">
        <v>486</v>
      </c>
      <c r="R17" s="22" t="s">
        <v>148</v>
      </c>
      <c r="S17" s="71" t="s">
        <v>242</v>
      </c>
      <c r="T17" s="115">
        <v>9580</v>
      </c>
      <c r="U17" s="71" t="s">
        <v>489</v>
      </c>
    </row>
    <row r="18" spans="1:21">
      <c r="A18" s="71" t="s">
        <v>525</v>
      </c>
      <c r="B18" s="71">
        <v>245</v>
      </c>
      <c r="C18" s="72">
        <v>4900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Q18" s="71" t="s">
        <v>486</v>
      </c>
      <c r="R18" s="22" t="s">
        <v>148</v>
      </c>
      <c r="S18" s="71" t="s">
        <v>242</v>
      </c>
      <c r="T18" s="115">
        <v>6800</v>
      </c>
      <c r="U18" s="71" t="s">
        <v>496</v>
      </c>
    </row>
    <row r="19" spans="1:21">
      <c r="A19" s="71" t="s">
        <v>242</v>
      </c>
      <c r="B19" s="71">
        <v>449</v>
      </c>
      <c r="C19" s="72">
        <v>8980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Q19" s="71" t="s">
        <v>486</v>
      </c>
      <c r="R19" s="22" t="s">
        <v>148</v>
      </c>
      <c r="S19" s="71" t="s">
        <v>416</v>
      </c>
      <c r="T19" s="115">
        <v>186</v>
      </c>
      <c r="U19" s="71" t="s">
        <v>521</v>
      </c>
    </row>
    <row r="20" spans="1:2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Q20" s="71" t="s">
        <v>486</v>
      </c>
      <c r="R20" s="22" t="s">
        <v>148</v>
      </c>
      <c r="S20" s="71" t="s">
        <v>416</v>
      </c>
      <c r="T20" s="115">
        <v>216</v>
      </c>
      <c r="U20" s="71" t="s">
        <v>496</v>
      </c>
    </row>
    <row r="21" spans="1:21">
      <c r="A21" s="71" t="s">
        <v>526</v>
      </c>
      <c r="B21" s="71" t="s">
        <v>527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Q21" s="71" t="s">
        <v>486</v>
      </c>
      <c r="R21" s="22" t="s">
        <v>148</v>
      </c>
      <c r="S21" s="71" t="s">
        <v>416</v>
      </c>
      <c r="T21" s="115">
        <v>198</v>
      </c>
      <c r="U21" s="71" t="s">
        <v>523</v>
      </c>
    </row>
    <row r="22" spans="1:21">
      <c r="A22" s="71" t="s">
        <v>528</v>
      </c>
      <c r="B22" s="71">
        <v>250837.5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Q22" s="71" t="s">
        <v>486</v>
      </c>
      <c r="R22" s="22" t="s">
        <v>148</v>
      </c>
      <c r="S22" s="71" t="s">
        <v>250</v>
      </c>
      <c r="T22" s="115">
        <v>377</v>
      </c>
      <c r="U22" s="71" t="s">
        <v>529</v>
      </c>
    </row>
    <row r="23" spans="1:21">
      <c r="A23" s="71" t="s">
        <v>530</v>
      </c>
      <c r="B23" s="71">
        <v>160536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Q23" s="71" t="s">
        <v>486</v>
      </c>
      <c r="R23" s="22" t="s">
        <v>148</v>
      </c>
      <c r="S23" s="71" t="s">
        <v>239</v>
      </c>
      <c r="T23" s="115">
        <v>122780</v>
      </c>
      <c r="U23" s="71" t="s">
        <v>489</v>
      </c>
    </row>
    <row r="24" spans="1:2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Q24" s="71" t="s">
        <v>486</v>
      </c>
      <c r="R24" s="22" t="s">
        <v>148</v>
      </c>
      <c r="S24" s="71" t="s">
        <v>239</v>
      </c>
      <c r="T24" s="115">
        <v>123000</v>
      </c>
      <c r="U24" s="71" t="s">
        <v>496</v>
      </c>
    </row>
    <row r="25" spans="1:21">
      <c r="A25" s="71"/>
      <c r="B25" s="71" t="s">
        <v>531</v>
      </c>
      <c r="C25" s="71" t="s">
        <v>532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Q25" s="71" t="s">
        <v>490</v>
      </c>
      <c r="R25" s="22" t="s">
        <v>148</v>
      </c>
      <c r="S25" s="71" t="s">
        <v>241</v>
      </c>
      <c r="T25" s="115">
        <v>4900</v>
      </c>
      <c r="U25" s="71" t="s">
        <v>533</v>
      </c>
    </row>
    <row r="26" spans="1:21">
      <c r="A26" s="71" t="s">
        <v>534</v>
      </c>
      <c r="B26" s="71">
        <v>41388187.5</v>
      </c>
      <c r="C26" s="72">
        <v>41388.1875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Q26" s="71" t="s">
        <v>490</v>
      </c>
      <c r="R26" s="22" t="s">
        <v>148</v>
      </c>
      <c r="S26" s="71" t="s">
        <v>241</v>
      </c>
      <c r="T26" s="115">
        <v>5080</v>
      </c>
      <c r="U26" s="71" t="s">
        <v>535</v>
      </c>
    </row>
    <row r="27" spans="1:21">
      <c r="A27" s="71" t="s">
        <v>536</v>
      </c>
      <c r="B27" s="71">
        <v>64214400</v>
      </c>
      <c r="C27" s="72">
        <v>64214.400000000001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Q27" s="71" t="s">
        <v>490</v>
      </c>
      <c r="R27" s="22" t="s">
        <v>148</v>
      </c>
      <c r="S27" s="71" t="s">
        <v>233</v>
      </c>
      <c r="T27" s="115">
        <v>41388</v>
      </c>
      <c r="U27" s="71" t="s">
        <v>533</v>
      </c>
    </row>
    <row r="28" spans="1:2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Q28" s="71" t="s">
        <v>490</v>
      </c>
      <c r="R28" s="22" t="s">
        <v>148</v>
      </c>
      <c r="S28" s="71" t="s">
        <v>233</v>
      </c>
      <c r="T28" s="115">
        <v>47099</v>
      </c>
      <c r="U28" s="71" t="s">
        <v>535</v>
      </c>
    </row>
    <row r="29" spans="1:21" ht="15.5">
      <c r="A29" s="74" t="s">
        <v>537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Q29" s="71" t="s">
        <v>490</v>
      </c>
      <c r="R29" s="22" t="s">
        <v>148</v>
      </c>
      <c r="S29" s="71" t="s">
        <v>233</v>
      </c>
      <c r="T29" s="115">
        <v>41456</v>
      </c>
      <c r="U29" s="71" t="s">
        <v>496</v>
      </c>
    </row>
    <row r="30" spans="1:21" ht="15.5">
      <c r="A30" s="74" t="s">
        <v>538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Q30" s="71" t="s">
        <v>490</v>
      </c>
      <c r="R30" s="22" t="s">
        <v>148</v>
      </c>
      <c r="S30" s="71" t="s">
        <v>233</v>
      </c>
      <c r="T30" s="115">
        <v>64214</v>
      </c>
      <c r="U30" s="71" t="s">
        <v>533</v>
      </c>
    </row>
    <row r="31" spans="1:21">
      <c r="A31" s="69" t="s">
        <v>539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Q31" s="71" t="s">
        <v>490</v>
      </c>
      <c r="R31" s="22" t="s">
        <v>148</v>
      </c>
      <c r="S31" s="71" t="s">
        <v>233</v>
      </c>
      <c r="T31" s="115">
        <v>73075</v>
      </c>
      <c r="U31" s="71" t="s">
        <v>535</v>
      </c>
    </row>
    <row r="32" spans="1:21">
      <c r="A32" s="71" t="s">
        <v>512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Q32" s="71" t="s">
        <v>490</v>
      </c>
      <c r="R32" s="22" t="s">
        <v>148</v>
      </c>
      <c r="S32" s="71" t="s">
        <v>233</v>
      </c>
      <c r="T32" s="115">
        <v>64320</v>
      </c>
      <c r="U32" s="71" t="s">
        <v>496</v>
      </c>
    </row>
    <row r="33" spans="1:21">
      <c r="A33" s="71" t="s">
        <v>540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Q33" s="71" t="s">
        <v>490</v>
      </c>
      <c r="R33" s="22" t="s">
        <v>148</v>
      </c>
      <c r="S33" s="71" t="s">
        <v>240</v>
      </c>
      <c r="T33" s="115">
        <v>1700</v>
      </c>
      <c r="U33" s="71" t="s">
        <v>533</v>
      </c>
    </row>
    <row r="34" spans="1:21">
      <c r="A34" s="71"/>
      <c r="B34" s="71" t="s">
        <v>515</v>
      </c>
      <c r="C34" s="71" t="s">
        <v>516</v>
      </c>
      <c r="D34" s="71" t="s">
        <v>517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Q34" s="71" t="s">
        <v>490</v>
      </c>
      <c r="R34" s="22" t="s">
        <v>148</v>
      </c>
      <c r="S34" s="71" t="s">
        <v>240</v>
      </c>
      <c r="T34" s="115">
        <v>1740</v>
      </c>
      <c r="U34" s="71" t="s">
        <v>535</v>
      </c>
    </row>
    <row r="35" spans="1:21">
      <c r="A35" s="71" t="s">
        <v>413</v>
      </c>
      <c r="B35" s="71">
        <v>22836</v>
      </c>
      <c r="C35" s="72">
        <v>456720</v>
      </c>
      <c r="D35" s="71" t="s">
        <v>518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Q35" s="71" t="s">
        <v>490</v>
      </c>
      <c r="R35" s="22" t="s">
        <v>148</v>
      </c>
      <c r="S35" s="71" t="s">
        <v>240</v>
      </c>
      <c r="T35" s="115">
        <v>1850</v>
      </c>
      <c r="U35" s="71" t="s">
        <v>541</v>
      </c>
    </row>
    <row r="36" spans="1:21">
      <c r="A36" s="71" t="s">
        <v>542</v>
      </c>
      <c r="B36" s="71">
        <v>6524</v>
      </c>
      <c r="C36" s="72">
        <v>130480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Q36" s="71" t="s">
        <v>490</v>
      </c>
      <c r="R36" s="22" t="s">
        <v>148</v>
      </c>
      <c r="S36" s="71" t="s">
        <v>242</v>
      </c>
      <c r="T36" s="115">
        <v>8980</v>
      </c>
      <c r="U36" s="71" t="s">
        <v>533</v>
      </c>
    </row>
    <row r="37" spans="1:21">
      <c r="A37" s="71" t="s">
        <v>240</v>
      </c>
      <c r="B37" s="71">
        <v>85</v>
      </c>
      <c r="C37" s="71">
        <v>1700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Q37" s="71" t="s">
        <v>490</v>
      </c>
      <c r="R37" s="22" t="s">
        <v>148</v>
      </c>
      <c r="S37" s="71" t="s">
        <v>242</v>
      </c>
      <c r="T37" s="115">
        <v>7400</v>
      </c>
      <c r="U37" s="71" t="s">
        <v>535</v>
      </c>
    </row>
    <row r="38" spans="1:21">
      <c r="A38" s="71" t="s">
        <v>522</v>
      </c>
      <c r="B38" s="71">
        <v>2</v>
      </c>
      <c r="C38" s="71">
        <v>40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Q38" s="71" t="s">
        <v>490</v>
      </c>
      <c r="R38" s="22" t="s">
        <v>148</v>
      </c>
      <c r="S38" s="71" t="s">
        <v>242</v>
      </c>
      <c r="T38" s="115">
        <v>6800</v>
      </c>
      <c r="U38" s="71" t="s">
        <v>496</v>
      </c>
    </row>
    <row r="39" spans="1:21">
      <c r="A39" s="71" t="s">
        <v>524</v>
      </c>
      <c r="B39" s="71">
        <v>87</v>
      </c>
      <c r="C39" s="72">
        <v>1740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Q39" s="71" t="s">
        <v>490</v>
      </c>
      <c r="R39" s="22" t="s">
        <v>148</v>
      </c>
      <c r="S39" s="71" t="s">
        <v>250</v>
      </c>
      <c r="T39" s="115">
        <v>377</v>
      </c>
      <c r="U39" s="71" t="s">
        <v>529</v>
      </c>
    </row>
    <row r="40" spans="1:21">
      <c r="A40" s="71" t="s">
        <v>525</v>
      </c>
      <c r="B40" s="71">
        <v>254</v>
      </c>
      <c r="C40" s="72">
        <v>5080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Q40" s="71" t="s">
        <v>490</v>
      </c>
      <c r="R40" s="22" t="s">
        <v>148</v>
      </c>
      <c r="S40" s="71" t="s">
        <v>239</v>
      </c>
      <c r="T40" s="115">
        <v>120480</v>
      </c>
      <c r="U40" s="71" t="s">
        <v>533</v>
      </c>
    </row>
    <row r="41" spans="1:21">
      <c r="A41" s="71" t="s">
        <v>242</v>
      </c>
      <c r="B41" s="71">
        <v>370</v>
      </c>
      <c r="C41" s="72">
        <v>7400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Q41" s="71" t="s">
        <v>490</v>
      </c>
      <c r="R41" s="22" t="s">
        <v>148</v>
      </c>
      <c r="S41" s="71" t="s">
        <v>239</v>
      </c>
      <c r="T41" s="115">
        <v>130480</v>
      </c>
      <c r="U41" s="71" t="s">
        <v>535</v>
      </c>
    </row>
    <row r="42" spans="1:2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Q42" s="71" t="s">
        <v>490</v>
      </c>
      <c r="R42" s="22" t="s">
        <v>148</v>
      </c>
      <c r="S42" s="71" t="s">
        <v>239</v>
      </c>
      <c r="T42" s="115">
        <v>123000</v>
      </c>
      <c r="U42" s="71" t="s">
        <v>496</v>
      </c>
    </row>
    <row r="43" spans="1:21">
      <c r="A43" s="71" t="s">
        <v>526</v>
      </c>
      <c r="B43" s="71" t="s">
        <v>527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Q43" s="71" t="s">
        <v>493</v>
      </c>
      <c r="R43" s="22" t="s">
        <v>155</v>
      </c>
      <c r="S43" s="71" t="s">
        <v>241</v>
      </c>
      <c r="T43" s="115">
        <v>1000</v>
      </c>
      <c r="U43" s="71" t="s">
        <v>543</v>
      </c>
    </row>
    <row r="44" spans="1:21">
      <c r="A44" s="71" t="s">
        <v>528</v>
      </c>
      <c r="B44" s="71">
        <v>285450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Q44" s="71" t="s">
        <v>493</v>
      </c>
      <c r="R44" s="22" t="s">
        <v>155</v>
      </c>
      <c r="S44" s="71" t="s">
        <v>241</v>
      </c>
      <c r="T44" s="115">
        <v>898</v>
      </c>
      <c r="U44" s="71" t="s">
        <v>543</v>
      </c>
    </row>
    <row r="45" spans="1:21">
      <c r="A45" s="71" t="s">
        <v>530</v>
      </c>
      <c r="B45" s="71">
        <v>182688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Q45" s="71" t="s">
        <v>493</v>
      </c>
      <c r="R45" s="22" t="s">
        <v>155</v>
      </c>
      <c r="S45" s="71" t="s">
        <v>241</v>
      </c>
      <c r="T45" s="115">
        <v>898</v>
      </c>
      <c r="U45" s="71" t="s">
        <v>543</v>
      </c>
    </row>
    <row r="46" spans="1:2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Q46" s="71" t="s">
        <v>493</v>
      </c>
      <c r="R46" s="22" t="s">
        <v>155</v>
      </c>
      <c r="S46" s="71" t="s">
        <v>241</v>
      </c>
      <c r="T46" s="115">
        <v>556</v>
      </c>
      <c r="U46" s="71" t="s">
        <v>543</v>
      </c>
    </row>
    <row r="47" spans="1:21">
      <c r="A47" s="71"/>
      <c r="B47" s="71" t="s">
        <v>531</v>
      </c>
      <c r="C47" s="71" t="s">
        <v>532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Q47" s="71" t="s">
        <v>493</v>
      </c>
      <c r="R47" s="22" t="s">
        <v>155</v>
      </c>
      <c r="S47" s="71" t="s">
        <v>241</v>
      </c>
      <c r="T47" s="115">
        <v>2140</v>
      </c>
      <c r="U47" s="71" t="s">
        <v>544</v>
      </c>
    </row>
    <row r="48" spans="1:21">
      <c r="A48" s="71" t="s">
        <v>534</v>
      </c>
      <c r="B48" s="71">
        <v>47099250</v>
      </c>
      <c r="C48" s="72">
        <v>47099.25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Q48" s="71" t="s">
        <v>493</v>
      </c>
      <c r="R48" s="22" t="s">
        <v>155</v>
      </c>
      <c r="S48" s="71" t="s">
        <v>233</v>
      </c>
      <c r="T48" s="115">
        <v>142</v>
      </c>
      <c r="U48" s="71" t="s">
        <v>544</v>
      </c>
    </row>
    <row r="49" spans="1:21">
      <c r="A49" s="71" t="s">
        <v>536</v>
      </c>
      <c r="B49" s="71">
        <v>73075200</v>
      </c>
      <c r="C49" s="72">
        <v>73075.199999999997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Q49" s="71" t="s">
        <v>493</v>
      </c>
      <c r="R49" s="22" t="s">
        <v>155</v>
      </c>
      <c r="S49" s="71" t="s">
        <v>233</v>
      </c>
      <c r="T49" s="115">
        <v>220</v>
      </c>
      <c r="U49" s="71" t="s">
        <v>544</v>
      </c>
    </row>
    <row r="50" spans="1:2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Q50" s="71" t="s">
        <v>493</v>
      </c>
      <c r="R50" s="22" t="s">
        <v>155</v>
      </c>
      <c r="S50" s="71" t="s">
        <v>240</v>
      </c>
      <c r="T50" s="115">
        <v>10000</v>
      </c>
      <c r="U50" s="71" t="s">
        <v>541</v>
      </c>
    </row>
    <row r="51" spans="1:21" ht="15.5">
      <c r="A51" s="74" t="s">
        <v>545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Q51" s="71" t="s">
        <v>493</v>
      </c>
      <c r="R51" s="22" t="s">
        <v>155</v>
      </c>
      <c r="S51" s="71" t="s">
        <v>240</v>
      </c>
      <c r="T51" s="115">
        <v>9580</v>
      </c>
      <c r="U51" s="71" t="s">
        <v>546</v>
      </c>
    </row>
    <row r="52" spans="1:21" ht="15.5">
      <c r="A52" s="74" t="s">
        <v>547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Q52" s="71" t="s">
        <v>493</v>
      </c>
      <c r="R52" s="22" t="s">
        <v>155</v>
      </c>
      <c r="S52" s="71" t="s">
        <v>240</v>
      </c>
      <c r="T52" s="115">
        <v>1650</v>
      </c>
      <c r="U52" s="71" t="s">
        <v>543</v>
      </c>
    </row>
    <row r="53" spans="1:21">
      <c r="A53" s="69" t="s">
        <v>548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Q53" s="71" t="s">
        <v>493</v>
      </c>
      <c r="R53" s="22" t="s">
        <v>155</v>
      </c>
      <c r="S53" s="71" t="s">
        <v>240</v>
      </c>
      <c r="T53" s="115">
        <v>5218</v>
      </c>
      <c r="U53" s="71" t="s">
        <v>543</v>
      </c>
    </row>
    <row r="54" spans="1:21">
      <c r="A54" s="71" t="s">
        <v>549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Q54" s="71" t="s">
        <v>493</v>
      </c>
      <c r="R54" s="22" t="s">
        <v>155</v>
      </c>
      <c r="S54" s="71" t="s">
        <v>240</v>
      </c>
      <c r="T54" s="115">
        <v>5218</v>
      </c>
      <c r="U54" s="71" t="s">
        <v>543</v>
      </c>
    </row>
    <row r="55" spans="1:21">
      <c r="A55" s="71" t="s">
        <v>550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Q55" s="71" t="s">
        <v>493</v>
      </c>
      <c r="R55" s="22" t="s">
        <v>155</v>
      </c>
      <c r="S55" s="71" t="s">
        <v>240</v>
      </c>
      <c r="T55" s="115">
        <v>9601</v>
      </c>
      <c r="U55" s="71" t="s">
        <v>543</v>
      </c>
    </row>
    <row r="56" spans="1:21">
      <c r="A56" s="71"/>
      <c r="B56" s="71" t="s">
        <v>515</v>
      </c>
      <c r="C56" s="71" t="s">
        <v>516</v>
      </c>
      <c r="D56" s="71" t="s">
        <v>517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Q56" s="71" t="s">
        <v>493</v>
      </c>
      <c r="R56" s="22" t="s">
        <v>155</v>
      </c>
      <c r="S56" s="71" t="s">
        <v>240</v>
      </c>
      <c r="T56" s="115">
        <v>2337</v>
      </c>
      <c r="U56" s="71" t="s">
        <v>544</v>
      </c>
    </row>
    <row r="57" spans="1:21">
      <c r="A57" s="71" t="s">
        <v>413</v>
      </c>
      <c r="B57" s="71">
        <v>18772</v>
      </c>
      <c r="C57" s="72">
        <v>375440</v>
      </c>
      <c r="D57" s="71" t="s">
        <v>551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Q57" s="71" t="s">
        <v>493</v>
      </c>
      <c r="R57" s="22" t="s">
        <v>155</v>
      </c>
      <c r="S57" s="71" t="s">
        <v>520</v>
      </c>
      <c r="T57" s="115">
        <v>12</v>
      </c>
      <c r="U57" s="71" t="s">
        <v>521</v>
      </c>
    </row>
    <row r="58" spans="1:21">
      <c r="A58" s="71" t="s">
        <v>552</v>
      </c>
      <c r="B58" s="71">
        <v>6139</v>
      </c>
      <c r="C58" s="72">
        <v>122780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Q58" s="71" t="s">
        <v>493</v>
      </c>
      <c r="R58" s="22" t="s">
        <v>155</v>
      </c>
      <c r="S58" s="71" t="s">
        <v>520</v>
      </c>
      <c r="T58" s="115">
        <v>28</v>
      </c>
      <c r="U58" s="71" t="s">
        <v>523</v>
      </c>
    </row>
    <row r="59" spans="1:21">
      <c r="A59" s="71" t="s">
        <v>240</v>
      </c>
      <c r="B59" s="71">
        <v>166</v>
      </c>
      <c r="C59" s="71">
        <v>3320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Q59" s="71" t="s">
        <v>493</v>
      </c>
      <c r="R59" s="22" t="s">
        <v>155</v>
      </c>
      <c r="S59" s="71" t="s">
        <v>242</v>
      </c>
      <c r="T59" s="115">
        <v>5823</v>
      </c>
      <c r="U59" s="71" t="s">
        <v>543</v>
      </c>
    </row>
    <row r="60" spans="1:21">
      <c r="A60" s="71" t="s">
        <v>522</v>
      </c>
      <c r="B60" s="71">
        <v>0</v>
      </c>
      <c r="C60" s="71">
        <v>0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Q60" s="71" t="s">
        <v>493</v>
      </c>
      <c r="R60" s="22" t="s">
        <v>155</v>
      </c>
      <c r="S60" s="71" t="s">
        <v>242</v>
      </c>
      <c r="T60" s="115">
        <v>5833</v>
      </c>
      <c r="U60" s="71" t="s">
        <v>543</v>
      </c>
    </row>
    <row r="61" spans="1:21">
      <c r="A61" s="71" t="s">
        <v>524</v>
      </c>
      <c r="B61" s="71">
        <v>166</v>
      </c>
      <c r="C61" s="72">
        <v>3320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Q61" s="71" t="s">
        <v>493</v>
      </c>
      <c r="R61" s="22" t="s">
        <v>155</v>
      </c>
      <c r="S61" s="71" t="s">
        <v>242</v>
      </c>
      <c r="T61" s="115">
        <v>5833</v>
      </c>
      <c r="U61" s="71" t="s">
        <v>543</v>
      </c>
    </row>
    <row r="62" spans="1:21">
      <c r="A62" s="71" t="s">
        <v>525</v>
      </c>
      <c r="B62" s="71">
        <v>660</v>
      </c>
      <c r="C62" s="72">
        <v>13200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Q62" s="71" t="s">
        <v>493</v>
      </c>
      <c r="R62" s="22" t="s">
        <v>155</v>
      </c>
      <c r="S62" s="71" t="s">
        <v>242</v>
      </c>
      <c r="T62" s="115">
        <v>10551</v>
      </c>
      <c r="U62" s="71" t="s">
        <v>543</v>
      </c>
    </row>
    <row r="63" spans="1:21">
      <c r="A63" s="71" t="s">
        <v>242</v>
      </c>
      <c r="B63" s="71">
        <v>479</v>
      </c>
      <c r="C63" s="72">
        <v>9580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Q63" s="71" t="s">
        <v>493</v>
      </c>
      <c r="R63" s="22" t="s">
        <v>155</v>
      </c>
      <c r="S63" s="71" t="s">
        <v>242</v>
      </c>
      <c r="T63" s="115">
        <v>10921</v>
      </c>
      <c r="U63" s="71" t="s">
        <v>544</v>
      </c>
    </row>
    <row r="64" spans="1:2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Q64" s="71" t="s">
        <v>493</v>
      </c>
      <c r="R64" s="22" t="s">
        <v>155</v>
      </c>
      <c r="S64" s="71" t="s">
        <v>416</v>
      </c>
      <c r="T64" s="115">
        <v>186</v>
      </c>
      <c r="U64" s="71" t="s">
        <v>521</v>
      </c>
    </row>
    <row r="65" spans="1:21">
      <c r="A65" s="71" t="s">
        <v>526</v>
      </c>
      <c r="B65" s="71" t="s">
        <v>527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Q65" s="71" t="s">
        <v>493</v>
      </c>
      <c r="R65" s="22" t="s">
        <v>155</v>
      </c>
      <c r="S65" s="71" t="s">
        <v>416</v>
      </c>
      <c r="T65" s="115">
        <v>216</v>
      </c>
      <c r="U65" s="71" t="s">
        <v>496</v>
      </c>
    </row>
    <row r="66" spans="1:21">
      <c r="A66" s="71" t="s">
        <v>528</v>
      </c>
      <c r="B66" s="71">
        <v>234650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Q66" s="71" t="s">
        <v>493</v>
      </c>
      <c r="R66" s="22" t="s">
        <v>155</v>
      </c>
      <c r="S66" s="71" t="s">
        <v>416</v>
      </c>
      <c r="T66" s="115">
        <v>198</v>
      </c>
      <c r="U66" s="71" t="s">
        <v>523</v>
      </c>
    </row>
    <row r="67" spans="1:21">
      <c r="A67" s="71" t="s">
        <v>530</v>
      </c>
      <c r="B67" s="71">
        <v>150176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Q67" s="71" t="s">
        <v>493</v>
      </c>
      <c r="R67" s="22" t="s">
        <v>155</v>
      </c>
      <c r="S67" s="71" t="s">
        <v>250</v>
      </c>
      <c r="T67" s="115">
        <v>377</v>
      </c>
      <c r="U67" s="71" t="s">
        <v>529</v>
      </c>
    </row>
    <row r="68" spans="1:2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Q68" s="71" t="s">
        <v>493</v>
      </c>
      <c r="R68" s="22" t="s">
        <v>155</v>
      </c>
      <c r="S68" s="71" t="s">
        <v>239</v>
      </c>
      <c r="T68" s="115">
        <v>147576</v>
      </c>
      <c r="U68" s="71" t="s">
        <v>543</v>
      </c>
    </row>
    <row r="69" spans="1:21">
      <c r="A69" s="71"/>
      <c r="B69" s="71" t="s">
        <v>531</v>
      </c>
      <c r="C69" s="71" t="s">
        <v>532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Q69" s="71" t="s">
        <v>493</v>
      </c>
      <c r="R69" s="22" t="s">
        <v>155</v>
      </c>
      <c r="S69" s="71" t="s">
        <v>239</v>
      </c>
      <c r="T69" s="115">
        <v>803094</v>
      </c>
      <c r="U69" s="71" t="s">
        <v>543</v>
      </c>
    </row>
    <row r="70" spans="1:21">
      <c r="A70" s="71" t="s">
        <v>534</v>
      </c>
      <c r="B70" s="71">
        <v>38717250</v>
      </c>
      <c r="C70" s="72">
        <v>38717.25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Q70" s="71" t="s">
        <v>493</v>
      </c>
      <c r="R70" s="22" t="s">
        <v>155</v>
      </c>
      <c r="S70" s="71" t="s">
        <v>239</v>
      </c>
      <c r="T70" s="115">
        <v>917224</v>
      </c>
      <c r="U70" s="71" t="s">
        <v>543</v>
      </c>
    </row>
    <row r="71" spans="1:21">
      <c r="A71" s="71" t="s">
        <v>536</v>
      </c>
      <c r="B71" s="71">
        <v>60070400</v>
      </c>
      <c r="C71" s="72">
        <v>60070.400000000001</v>
      </c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Q71" s="71" t="s">
        <v>493</v>
      </c>
      <c r="R71" s="22" t="s">
        <v>155</v>
      </c>
      <c r="S71" s="71" t="s">
        <v>239</v>
      </c>
      <c r="T71" s="115">
        <v>530417</v>
      </c>
      <c r="U71" s="71" t="s">
        <v>543</v>
      </c>
    </row>
    <row r="72" spans="1:2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Q72" s="71" t="s">
        <v>493</v>
      </c>
      <c r="R72" s="22" t="s">
        <v>155</v>
      </c>
      <c r="S72" s="71" t="s">
        <v>239</v>
      </c>
      <c r="T72" s="115">
        <v>193257</v>
      </c>
      <c r="U72" s="71" t="s">
        <v>544</v>
      </c>
    </row>
    <row r="73" spans="1:21" ht="15.5">
      <c r="A73" s="74" t="s">
        <v>553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Q73" s="71" t="s">
        <v>497</v>
      </c>
      <c r="R73" s="22" t="s">
        <v>155</v>
      </c>
      <c r="S73" s="71" t="s">
        <v>241</v>
      </c>
      <c r="T73" s="115">
        <v>1000</v>
      </c>
      <c r="U73" s="71" t="s">
        <v>543</v>
      </c>
    </row>
    <row r="74" spans="1:21" ht="15.5">
      <c r="A74" s="74" t="s">
        <v>554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Q74" s="71" t="s">
        <v>497</v>
      </c>
      <c r="R74" s="22" t="s">
        <v>155</v>
      </c>
      <c r="S74" s="71" t="s">
        <v>241</v>
      </c>
      <c r="T74" s="115">
        <v>898</v>
      </c>
      <c r="U74" s="71" t="s">
        <v>543</v>
      </c>
    </row>
    <row r="75" spans="1:21">
      <c r="A75" s="69" t="s">
        <v>555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Q75" s="71" t="s">
        <v>497</v>
      </c>
      <c r="R75" s="22" t="s">
        <v>155</v>
      </c>
      <c r="S75" s="71" t="s">
        <v>241</v>
      </c>
      <c r="T75" s="115">
        <v>898</v>
      </c>
      <c r="U75" s="71" t="s">
        <v>543</v>
      </c>
    </row>
    <row r="76" spans="1:21">
      <c r="A76" s="71" t="s">
        <v>556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Q76" s="71" t="s">
        <v>497</v>
      </c>
      <c r="R76" s="22" t="s">
        <v>155</v>
      </c>
      <c r="S76" s="71" t="s">
        <v>241</v>
      </c>
      <c r="T76" s="115">
        <v>556</v>
      </c>
      <c r="U76" s="71" t="s">
        <v>543</v>
      </c>
    </row>
    <row r="77" spans="1:21">
      <c r="A77" s="71" t="s">
        <v>557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Q77" s="71" t="s">
        <v>497</v>
      </c>
      <c r="R77" s="22" t="s">
        <v>155</v>
      </c>
      <c r="S77" s="71" t="s">
        <v>241</v>
      </c>
      <c r="T77" s="115">
        <v>2140</v>
      </c>
      <c r="U77" s="71" t="s">
        <v>544</v>
      </c>
    </row>
    <row r="78" spans="1:21">
      <c r="A78" s="71"/>
      <c r="B78" s="71" t="s">
        <v>516</v>
      </c>
      <c r="C78" s="71" t="s">
        <v>517</v>
      </c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Q78" s="71" t="s">
        <v>497</v>
      </c>
      <c r="R78" s="22" t="s">
        <v>155</v>
      </c>
      <c r="S78" s="71" t="s">
        <v>233</v>
      </c>
      <c r="T78" s="115">
        <v>142</v>
      </c>
      <c r="U78" s="71" t="s">
        <v>544</v>
      </c>
    </row>
    <row r="79" spans="1:21">
      <c r="A79" s="71" t="s">
        <v>416</v>
      </c>
      <c r="B79" s="77">
        <v>186</v>
      </c>
      <c r="C79" s="71" t="s">
        <v>558</v>
      </c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Q79" s="71" t="s">
        <v>497</v>
      </c>
      <c r="R79" s="22" t="s">
        <v>155</v>
      </c>
      <c r="S79" s="71" t="s">
        <v>233</v>
      </c>
      <c r="T79" s="115">
        <v>220</v>
      </c>
      <c r="U79" s="71" t="s">
        <v>544</v>
      </c>
    </row>
    <row r="80" spans="1:21">
      <c r="A80" s="71" t="s">
        <v>520</v>
      </c>
      <c r="B80" s="77">
        <v>12</v>
      </c>
      <c r="C80" s="71" t="s">
        <v>559</v>
      </c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Q80" s="71" t="s">
        <v>497</v>
      </c>
      <c r="R80" s="22" t="s">
        <v>155</v>
      </c>
      <c r="S80" s="71" t="s">
        <v>240</v>
      </c>
      <c r="T80" s="115">
        <v>10000</v>
      </c>
      <c r="U80" s="71" t="s">
        <v>541</v>
      </c>
    </row>
    <row r="81" spans="1:2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Q81" s="71" t="s">
        <v>497</v>
      </c>
      <c r="R81" s="22" t="s">
        <v>155</v>
      </c>
      <c r="S81" s="71" t="s">
        <v>240</v>
      </c>
      <c r="T81" s="115">
        <v>9580</v>
      </c>
      <c r="U81" s="71" t="s">
        <v>546</v>
      </c>
    </row>
    <row r="82" spans="1:21" ht="15.5">
      <c r="A82" s="74" t="s">
        <v>541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Q82" s="71" t="s">
        <v>497</v>
      </c>
      <c r="R82" s="22" t="s">
        <v>155</v>
      </c>
      <c r="S82" s="71" t="s">
        <v>240</v>
      </c>
      <c r="T82" s="115">
        <v>1650</v>
      </c>
      <c r="U82" s="71" t="s">
        <v>543</v>
      </c>
    </row>
    <row r="83" spans="1:21" ht="15.5">
      <c r="A83" s="74" t="s">
        <v>560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Q83" s="71" t="s">
        <v>497</v>
      </c>
      <c r="R83" s="22" t="s">
        <v>155</v>
      </c>
      <c r="S83" s="71" t="s">
        <v>240</v>
      </c>
      <c r="T83" s="115">
        <v>5218</v>
      </c>
      <c r="U83" s="71" t="s">
        <v>543</v>
      </c>
    </row>
    <row r="84" spans="1:21">
      <c r="A84" s="69" t="s">
        <v>561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Q84" s="71" t="s">
        <v>497</v>
      </c>
      <c r="R84" s="22" t="s">
        <v>155</v>
      </c>
      <c r="S84" s="71" t="s">
        <v>240</v>
      </c>
      <c r="T84" s="115">
        <v>5218</v>
      </c>
      <c r="U84" s="71" t="s">
        <v>543</v>
      </c>
    </row>
    <row r="85" spans="1:21">
      <c r="A85" s="71" t="s">
        <v>562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Q85" s="71" t="s">
        <v>497</v>
      </c>
      <c r="R85" s="22" t="s">
        <v>155</v>
      </c>
      <c r="S85" s="71" t="s">
        <v>240</v>
      </c>
      <c r="T85" s="115">
        <v>9601</v>
      </c>
      <c r="U85" s="71" t="s">
        <v>543</v>
      </c>
    </row>
    <row r="86" spans="1:21">
      <c r="A86" s="71" t="s">
        <v>563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Q86" s="71" t="s">
        <v>497</v>
      </c>
      <c r="R86" s="22" t="s">
        <v>155</v>
      </c>
      <c r="S86" s="71" t="s">
        <v>240</v>
      </c>
      <c r="T86" s="115">
        <v>2337</v>
      </c>
      <c r="U86" s="71" t="s">
        <v>544</v>
      </c>
    </row>
    <row r="87" spans="1:21">
      <c r="A87" s="71"/>
      <c r="B87" s="71" t="s">
        <v>564</v>
      </c>
      <c r="C87" s="71" t="s">
        <v>565</v>
      </c>
      <c r="D87" s="71" t="s">
        <v>517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Q87" s="71" t="s">
        <v>497</v>
      </c>
      <c r="R87" s="22" t="s">
        <v>155</v>
      </c>
      <c r="S87" s="71" t="s">
        <v>242</v>
      </c>
      <c r="T87" s="115">
        <v>5823</v>
      </c>
      <c r="U87" s="71" t="s">
        <v>543</v>
      </c>
    </row>
    <row r="88" spans="1:21">
      <c r="A88" s="71" t="s">
        <v>240</v>
      </c>
      <c r="B88" s="72">
        <v>1850</v>
      </c>
      <c r="C88" s="72">
        <v>10000</v>
      </c>
      <c r="D88" s="71" t="s">
        <v>566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Q88" s="71" t="s">
        <v>497</v>
      </c>
      <c r="R88" s="22" t="s">
        <v>155</v>
      </c>
      <c r="S88" s="71" t="s">
        <v>242</v>
      </c>
      <c r="T88" s="115">
        <v>5833</v>
      </c>
      <c r="U88" s="71" t="s">
        <v>543</v>
      </c>
    </row>
    <row r="89" spans="1:21">
      <c r="A89" s="71" t="s">
        <v>241</v>
      </c>
      <c r="B89" s="73">
        <v>370</v>
      </c>
      <c r="C89" s="71"/>
      <c r="D89" s="71" t="s">
        <v>567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Q89" s="71" t="s">
        <v>497</v>
      </c>
      <c r="R89" s="22" t="s">
        <v>155</v>
      </c>
      <c r="S89" s="71" t="s">
        <v>242</v>
      </c>
      <c r="T89" s="115">
        <v>5833</v>
      </c>
      <c r="U89" s="71" t="s">
        <v>543</v>
      </c>
    </row>
    <row r="90" spans="1:2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Q90" s="71" t="s">
        <v>497</v>
      </c>
      <c r="R90" s="22" t="s">
        <v>155</v>
      </c>
      <c r="S90" s="71" t="s">
        <v>242</v>
      </c>
      <c r="T90" s="115">
        <v>10551</v>
      </c>
      <c r="U90" s="71" t="s">
        <v>543</v>
      </c>
    </row>
    <row r="91" spans="1:21" ht="15.5">
      <c r="A91" s="74" t="s">
        <v>568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Q91" s="71" t="s">
        <v>497</v>
      </c>
      <c r="R91" s="22" t="s">
        <v>155</v>
      </c>
      <c r="S91" s="71" t="s">
        <v>242</v>
      </c>
      <c r="T91" s="115">
        <v>10921</v>
      </c>
      <c r="U91" s="71" t="s">
        <v>544</v>
      </c>
    </row>
    <row r="92" spans="1:21" ht="15.5">
      <c r="A92" s="74" t="s">
        <v>569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Q92" s="71" t="s">
        <v>497</v>
      </c>
      <c r="R92" s="22" t="s">
        <v>155</v>
      </c>
      <c r="S92" s="71" t="s">
        <v>250</v>
      </c>
      <c r="T92" s="115">
        <v>377</v>
      </c>
      <c r="U92" s="71" t="s">
        <v>529</v>
      </c>
    </row>
    <row r="93" spans="1:21">
      <c r="A93" s="69" t="s">
        <v>570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Q93" s="71" t="s">
        <v>497</v>
      </c>
      <c r="R93" s="22" t="s">
        <v>155</v>
      </c>
      <c r="S93" s="71" t="s">
        <v>239</v>
      </c>
      <c r="T93" s="115">
        <v>147576</v>
      </c>
      <c r="U93" s="71" t="s">
        <v>543</v>
      </c>
    </row>
    <row r="94" spans="1:21">
      <c r="A94" s="71" t="s">
        <v>571</v>
      </c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Q94" s="71" t="s">
        <v>497</v>
      </c>
      <c r="R94" s="22" t="s">
        <v>155</v>
      </c>
      <c r="S94" s="71" t="s">
        <v>239</v>
      </c>
      <c r="T94" s="115">
        <v>803094</v>
      </c>
      <c r="U94" s="71" t="s">
        <v>543</v>
      </c>
    </row>
    <row r="95" spans="1:21">
      <c r="A95" s="71" t="s">
        <v>572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Q95" s="71" t="s">
        <v>497</v>
      </c>
      <c r="R95" s="22" t="s">
        <v>155</v>
      </c>
      <c r="S95" s="71" t="s">
        <v>239</v>
      </c>
      <c r="T95" s="115">
        <v>917224</v>
      </c>
      <c r="U95" s="71" t="s">
        <v>543</v>
      </c>
    </row>
    <row r="96" spans="1:21">
      <c r="A96" s="71"/>
      <c r="B96" s="71" t="s">
        <v>516</v>
      </c>
      <c r="C96" s="71" t="s">
        <v>517</v>
      </c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Q96" s="71" t="s">
        <v>497</v>
      </c>
      <c r="R96" s="22" t="s">
        <v>155</v>
      </c>
      <c r="S96" s="71" t="s">
        <v>239</v>
      </c>
      <c r="T96" s="115">
        <v>530417</v>
      </c>
      <c r="U96" s="71" t="s">
        <v>543</v>
      </c>
    </row>
    <row r="97" spans="1:21">
      <c r="A97" s="71" t="s">
        <v>573</v>
      </c>
      <c r="B97" s="79">
        <v>123000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Q97" s="71" t="s">
        <v>497</v>
      </c>
      <c r="R97" s="22" t="s">
        <v>155</v>
      </c>
      <c r="S97" s="71" t="s">
        <v>239</v>
      </c>
      <c r="T97" s="115">
        <v>193257</v>
      </c>
      <c r="U97" s="71" t="s">
        <v>544</v>
      </c>
    </row>
    <row r="98" spans="1:21">
      <c r="A98" s="71" t="s">
        <v>413</v>
      </c>
      <c r="B98" s="72">
        <v>402000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Q98" s="71" t="s">
        <v>499</v>
      </c>
      <c r="R98" s="22" t="s">
        <v>244</v>
      </c>
      <c r="S98" s="71" t="s">
        <v>248</v>
      </c>
      <c r="T98" s="115">
        <v>10</v>
      </c>
      <c r="U98" s="71" t="s">
        <v>574</v>
      </c>
    </row>
    <row r="99" spans="1:21">
      <c r="A99" s="71" t="s">
        <v>240</v>
      </c>
      <c r="B99" s="72">
        <v>3000</v>
      </c>
      <c r="C99" s="71" t="s">
        <v>575</v>
      </c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Q99" s="71" t="s">
        <v>499</v>
      </c>
      <c r="R99" s="22" t="s">
        <v>244</v>
      </c>
      <c r="S99" s="71" t="s">
        <v>241</v>
      </c>
      <c r="T99" s="115">
        <v>38500</v>
      </c>
      <c r="U99" s="71" t="s">
        <v>576</v>
      </c>
    </row>
    <row r="100" spans="1:21">
      <c r="A100" s="137" t="s">
        <v>416</v>
      </c>
      <c r="B100" s="138">
        <v>216</v>
      </c>
      <c r="C100" s="71" t="s">
        <v>577</v>
      </c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Q100" s="71" t="s">
        <v>499</v>
      </c>
      <c r="R100" s="22" t="s">
        <v>244</v>
      </c>
      <c r="S100" s="71" t="s">
        <v>241</v>
      </c>
      <c r="T100" s="115">
        <v>8500</v>
      </c>
      <c r="U100" s="71" t="s">
        <v>578</v>
      </c>
    </row>
    <row r="101" spans="1:21">
      <c r="A101" s="137"/>
      <c r="B101" s="138"/>
      <c r="C101" s="71" t="s">
        <v>579</v>
      </c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Q101" s="71" t="s">
        <v>499</v>
      </c>
      <c r="R101" s="22" t="s">
        <v>244</v>
      </c>
      <c r="S101" s="71" t="s">
        <v>241</v>
      </c>
      <c r="T101" s="115">
        <v>19000</v>
      </c>
      <c r="U101" s="71" t="s">
        <v>580</v>
      </c>
    </row>
    <row r="102" spans="1:21">
      <c r="A102" s="71" t="s">
        <v>581</v>
      </c>
      <c r="B102" s="72">
        <v>6800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Q102" s="71" t="s">
        <v>499</v>
      </c>
      <c r="R102" s="22" t="s">
        <v>244</v>
      </c>
      <c r="S102" s="71" t="s">
        <v>241</v>
      </c>
      <c r="T102" s="115">
        <v>19000</v>
      </c>
      <c r="U102" s="71" t="s">
        <v>582</v>
      </c>
    </row>
    <row r="103" spans="1:2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Q103" s="71" t="s">
        <v>499</v>
      </c>
      <c r="R103" s="22" t="s">
        <v>244</v>
      </c>
      <c r="S103" s="71" t="s">
        <v>233</v>
      </c>
      <c r="T103" s="115">
        <v>6497</v>
      </c>
      <c r="U103" s="71" t="s">
        <v>578</v>
      </c>
    </row>
    <row r="104" spans="1:21">
      <c r="A104" s="71" t="s">
        <v>526</v>
      </c>
      <c r="B104" s="71" t="s">
        <v>583</v>
      </c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Q104" s="71" t="s">
        <v>499</v>
      </c>
      <c r="R104" s="22" t="s">
        <v>244</v>
      </c>
      <c r="S104" s="71" t="s">
        <v>233</v>
      </c>
      <c r="T104" s="115">
        <v>6775</v>
      </c>
      <c r="U104" s="71" t="s">
        <v>580</v>
      </c>
    </row>
    <row r="105" spans="1:21">
      <c r="A105" s="71" t="s">
        <v>528</v>
      </c>
      <c r="B105" s="71">
        <v>251250</v>
      </c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Q105" s="71" t="s">
        <v>499</v>
      </c>
      <c r="R105" s="22" t="s">
        <v>244</v>
      </c>
      <c r="S105" s="71" t="s">
        <v>233</v>
      </c>
      <c r="T105" s="115">
        <v>10080</v>
      </c>
      <c r="U105" s="71" t="s">
        <v>578</v>
      </c>
    </row>
    <row r="106" spans="1:21">
      <c r="A106" s="71" t="s">
        <v>530</v>
      </c>
      <c r="B106" s="71">
        <v>160800</v>
      </c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Q106" s="71" t="s">
        <v>499</v>
      </c>
      <c r="R106" s="22" t="s">
        <v>244</v>
      </c>
      <c r="S106" s="71" t="s">
        <v>233</v>
      </c>
      <c r="T106" s="115">
        <v>10512</v>
      </c>
      <c r="U106" s="71" t="s">
        <v>580</v>
      </c>
    </row>
    <row r="107" spans="1:2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Q107" s="71" t="s">
        <v>499</v>
      </c>
      <c r="R107" s="22" t="s">
        <v>244</v>
      </c>
      <c r="S107" s="71" t="s">
        <v>233</v>
      </c>
      <c r="T107" s="115">
        <v>4847</v>
      </c>
      <c r="U107" s="71" t="s">
        <v>582</v>
      </c>
    </row>
    <row r="108" spans="1:21">
      <c r="A108" s="71"/>
      <c r="B108" s="71" t="s">
        <v>531</v>
      </c>
      <c r="C108" s="71" t="s">
        <v>532</v>
      </c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Q108" s="71" t="s">
        <v>499</v>
      </c>
      <c r="R108" s="22" t="s">
        <v>244</v>
      </c>
      <c r="S108" s="71" t="s">
        <v>233</v>
      </c>
      <c r="T108" s="115">
        <v>7520</v>
      </c>
      <c r="U108" s="71" t="s">
        <v>582</v>
      </c>
    </row>
    <row r="109" spans="1:21">
      <c r="A109" s="71" t="s">
        <v>534</v>
      </c>
      <c r="B109" s="71">
        <v>41456250</v>
      </c>
      <c r="C109" s="72">
        <v>41456.25</v>
      </c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Q109" s="71" t="s">
        <v>499</v>
      </c>
      <c r="R109" s="22" t="s">
        <v>244</v>
      </c>
      <c r="S109" s="71" t="s">
        <v>240</v>
      </c>
      <c r="T109" s="115">
        <v>7000</v>
      </c>
      <c r="U109" s="71" t="s">
        <v>513</v>
      </c>
    </row>
    <row r="110" spans="1:21">
      <c r="A110" s="71" t="s">
        <v>536</v>
      </c>
      <c r="B110" s="71">
        <v>64320000</v>
      </c>
      <c r="C110" s="72">
        <v>64320</v>
      </c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Q110" s="71" t="s">
        <v>499</v>
      </c>
      <c r="R110" s="22" t="s">
        <v>244</v>
      </c>
      <c r="S110" s="71" t="s">
        <v>240</v>
      </c>
      <c r="T110" s="115">
        <v>4900</v>
      </c>
      <c r="U110" s="71" t="s">
        <v>578</v>
      </c>
    </row>
    <row r="111" spans="1:2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Q111" s="71" t="s">
        <v>499</v>
      </c>
      <c r="R111" s="22" t="s">
        <v>244</v>
      </c>
      <c r="S111" s="71" t="s">
        <v>240</v>
      </c>
      <c r="T111" s="115">
        <v>7530</v>
      </c>
      <c r="U111" s="71" t="s">
        <v>580</v>
      </c>
    </row>
    <row r="112" spans="1:21" ht="15.5">
      <c r="A112" s="74" t="s">
        <v>584</v>
      </c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Q112" s="71" t="s">
        <v>499</v>
      </c>
      <c r="R112" s="22" t="s">
        <v>244</v>
      </c>
      <c r="S112" s="71" t="s">
        <v>240</v>
      </c>
      <c r="T112" s="115">
        <v>7000</v>
      </c>
      <c r="U112" s="71" t="s">
        <v>582</v>
      </c>
    </row>
    <row r="113" spans="1:21" ht="15.5">
      <c r="A113" s="80" t="s">
        <v>585</v>
      </c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Q113" s="71" t="s">
        <v>499</v>
      </c>
      <c r="R113" s="22" t="s">
        <v>244</v>
      </c>
      <c r="S113" s="71" t="s">
        <v>246</v>
      </c>
      <c r="T113" s="115">
        <v>50000</v>
      </c>
      <c r="U113" s="71" t="s">
        <v>586</v>
      </c>
    </row>
    <row r="114" spans="1:21">
      <c r="A114" s="71" t="s">
        <v>587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Q114" s="71" t="s">
        <v>499</v>
      </c>
      <c r="R114" s="22" t="s">
        <v>244</v>
      </c>
      <c r="S114" s="71" t="s">
        <v>246</v>
      </c>
      <c r="T114" s="115">
        <v>70000</v>
      </c>
      <c r="U114" s="71" t="s">
        <v>582</v>
      </c>
    </row>
    <row r="115" spans="1:21">
      <c r="A115" s="71" t="s">
        <v>572</v>
      </c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Q115" s="71" t="s">
        <v>499</v>
      </c>
      <c r="R115" s="22" t="s">
        <v>244</v>
      </c>
      <c r="S115" s="71" t="s">
        <v>246</v>
      </c>
      <c r="T115" s="115">
        <v>66700</v>
      </c>
      <c r="U115" s="71" t="s">
        <v>588</v>
      </c>
    </row>
    <row r="116" spans="1:21">
      <c r="A116" s="71"/>
      <c r="B116" s="71" t="s">
        <v>516</v>
      </c>
      <c r="C116" s="71" t="s">
        <v>517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Q116" s="71" t="s">
        <v>499</v>
      </c>
      <c r="R116" s="22" t="s">
        <v>244</v>
      </c>
      <c r="S116" s="71" t="s">
        <v>246</v>
      </c>
      <c r="T116" s="115">
        <v>53400</v>
      </c>
      <c r="U116" s="71" t="s">
        <v>589</v>
      </c>
    </row>
    <row r="117" spans="1:21">
      <c r="A117" s="71" t="s">
        <v>416</v>
      </c>
      <c r="B117" s="72">
        <v>198</v>
      </c>
      <c r="C117" s="71" t="s">
        <v>590</v>
      </c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Q117" s="71" t="s">
        <v>499</v>
      </c>
      <c r="R117" s="22" t="s">
        <v>244</v>
      </c>
      <c r="S117" s="71" t="s">
        <v>250</v>
      </c>
      <c r="T117" s="115">
        <v>1</v>
      </c>
      <c r="U117" s="71" t="s">
        <v>591</v>
      </c>
    </row>
    <row r="118" spans="1:21">
      <c r="A118" s="71" t="s">
        <v>520</v>
      </c>
      <c r="B118" s="72">
        <v>28</v>
      </c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Q118" s="71" t="s">
        <v>499</v>
      </c>
      <c r="R118" s="22" t="s">
        <v>244</v>
      </c>
      <c r="S118" s="71" t="s">
        <v>247</v>
      </c>
      <c r="T118" s="115">
        <v>638</v>
      </c>
      <c r="U118" s="71" t="s">
        <v>592</v>
      </c>
    </row>
    <row r="119" spans="1:2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Q119" s="71" t="s">
        <v>499</v>
      </c>
      <c r="R119" s="22" t="s">
        <v>244</v>
      </c>
      <c r="S119" s="71" t="s">
        <v>247</v>
      </c>
      <c r="T119" s="115">
        <v>2882</v>
      </c>
      <c r="U119" s="71" t="s">
        <v>592</v>
      </c>
    </row>
    <row r="120" spans="1:21" ht="15.5">
      <c r="A120" s="74" t="s">
        <v>593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Q120" s="71" t="s">
        <v>499</v>
      </c>
      <c r="R120" s="22" t="s">
        <v>244</v>
      </c>
      <c r="S120" s="71" t="s">
        <v>247</v>
      </c>
      <c r="T120" s="115">
        <v>6629</v>
      </c>
      <c r="U120" s="71" t="s">
        <v>592</v>
      </c>
    </row>
    <row r="121" spans="1:21" ht="15.5">
      <c r="A121" s="74" t="s">
        <v>594</v>
      </c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Q121" s="71" t="s">
        <v>499</v>
      </c>
      <c r="R121" s="22" t="s">
        <v>244</v>
      </c>
      <c r="S121" s="71" t="s">
        <v>247</v>
      </c>
      <c r="T121" s="115">
        <v>1460</v>
      </c>
      <c r="U121" s="71" t="s">
        <v>586</v>
      </c>
    </row>
    <row r="122" spans="1:21">
      <c r="A122" s="69" t="s">
        <v>595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Q122" s="71" t="s">
        <v>499</v>
      </c>
      <c r="R122" s="22" t="s">
        <v>244</v>
      </c>
      <c r="S122" s="71" t="s">
        <v>247</v>
      </c>
      <c r="T122" s="115">
        <v>2020</v>
      </c>
      <c r="U122" s="71" t="s">
        <v>586</v>
      </c>
    </row>
    <row r="123" spans="1:21">
      <c r="A123" s="71" t="s">
        <v>596</v>
      </c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Q123" s="71" t="s">
        <v>499</v>
      </c>
      <c r="R123" s="22" t="s">
        <v>244</v>
      </c>
      <c r="S123" s="71" t="s">
        <v>247</v>
      </c>
      <c r="T123" s="115">
        <v>7000</v>
      </c>
      <c r="U123" s="71" t="s">
        <v>582</v>
      </c>
    </row>
    <row r="124" spans="1:21">
      <c r="A124" s="71" t="s">
        <v>597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Q124" s="71" t="s">
        <v>499</v>
      </c>
      <c r="R124" s="22" t="s">
        <v>244</v>
      </c>
      <c r="S124" s="71" t="s">
        <v>247</v>
      </c>
      <c r="T124" s="115">
        <v>2930</v>
      </c>
      <c r="U124" s="71" t="s">
        <v>589</v>
      </c>
    </row>
    <row r="125" spans="1:21">
      <c r="A125" s="71" t="s">
        <v>572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Q125" s="71" t="s">
        <v>499</v>
      </c>
      <c r="R125" s="22" t="s">
        <v>244</v>
      </c>
      <c r="S125" s="71" t="s">
        <v>247</v>
      </c>
      <c r="T125" s="115">
        <v>3450</v>
      </c>
      <c r="U125" s="71" t="s">
        <v>589</v>
      </c>
    </row>
    <row r="126" spans="1:21">
      <c r="A126" s="71" t="s">
        <v>516</v>
      </c>
      <c r="B126" s="71" t="s">
        <v>598</v>
      </c>
      <c r="C126" s="71" t="s">
        <v>599</v>
      </c>
      <c r="D126" s="71" t="s">
        <v>517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Q126" s="71" t="s">
        <v>499</v>
      </c>
      <c r="R126" s="22" t="s">
        <v>244</v>
      </c>
      <c r="S126" s="71" t="s">
        <v>239</v>
      </c>
      <c r="T126" s="115">
        <v>73000</v>
      </c>
      <c r="U126" s="71" t="s">
        <v>578</v>
      </c>
    </row>
    <row r="127" spans="1:21">
      <c r="A127" s="71" t="s">
        <v>415</v>
      </c>
      <c r="B127" s="77">
        <v>4700</v>
      </c>
      <c r="C127" s="77">
        <v>4982</v>
      </c>
      <c r="D127" s="71" t="s">
        <v>596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Q127" s="71" t="s">
        <v>499</v>
      </c>
      <c r="R127" s="22" t="s">
        <v>244</v>
      </c>
      <c r="S127" s="71" t="s">
        <v>239</v>
      </c>
      <c r="T127" s="115">
        <v>55900</v>
      </c>
      <c r="U127" s="71" t="s">
        <v>580</v>
      </c>
    </row>
    <row r="128" spans="1:2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Q128" s="71" t="s">
        <v>499</v>
      </c>
      <c r="R128" s="22" t="s">
        <v>244</v>
      </c>
      <c r="S128" s="71" t="s">
        <v>239</v>
      </c>
      <c r="T128" s="115">
        <v>56000</v>
      </c>
      <c r="U128" s="71" t="s">
        <v>582</v>
      </c>
    </row>
    <row r="129" spans="1:21" ht="15.5">
      <c r="A129" s="74" t="s">
        <v>600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Q129" s="71" t="s">
        <v>502</v>
      </c>
      <c r="R129" s="71"/>
      <c r="S129" s="71" t="s">
        <v>241</v>
      </c>
      <c r="T129" s="115">
        <v>31300</v>
      </c>
      <c r="U129" s="71" t="s">
        <v>576</v>
      </c>
    </row>
    <row r="130" spans="1:21" ht="15.5">
      <c r="A130" s="80" t="s">
        <v>601</v>
      </c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Q130" s="71" t="s">
        <v>502</v>
      </c>
      <c r="R130" s="71"/>
      <c r="S130" s="71" t="s">
        <v>241</v>
      </c>
      <c r="T130" s="115">
        <v>6885</v>
      </c>
      <c r="U130" s="71" t="s">
        <v>578</v>
      </c>
    </row>
    <row r="131" spans="1:21">
      <c r="A131" s="71" t="s">
        <v>602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Q131" s="71" t="s">
        <v>502</v>
      </c>
      <c r="R131" s="71"/>
      <c r="S131" s="71" t="s">
        <v>241</v>
      </c>
      <c r="T131" s="115">
        <v>15390</v>
      </c>
      <c r="U131" s="71" t="s">
        <v>580</v>
      </c>
    </row>
    <row r="132" spans="1:21">
      <c r="A132" s="71" t="s">
        <v>603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Q132" s="71" t="s">
        <v>502</v>
      </c>
      <c r="R132" s="71"/>
      <c r="S132" s="71" t="s">
        <v>241</v>
      </c>
      <c r="T132" s="115">
        <v>15390</v>
      </c>
      <c r="U132" s="71" t="s">
        <v>582</v>
      </c>
    </row>
    <row r="133" spans="1:21">
      <c r="A133" s="71" t="s">
        <v>604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Q133" s="71" t="s">
        <v>502</v>
      </c>
      <c r="R133" s="71"/>
      <c r="S133" s="71" t="s">
        <v>233</v>
      </c>
      <c r="T133" s="115">
        <v>6497</v>
      </c>
      <c r="U133" s="71" t="s">
        <v>578</v>
      </c>
    </row>
    <row r="134" spans="1:21">
      <c r="A134" s="71" t="s">
        <v>605</v>
      </c>
      <c r="B134" s="71" t="s">
        <v>606</v>
      </c>
      <c r="C134" s="71" t="s">
        <v>607</v>
      </c>
      <c r="D134" s="71" t="s">
        <v>608</v>
      </c>
      <c r="E134" s="71" t="s">
        <v>609</v>
      </c>
      <c r="F134" s="71" t="s">
        <v>610</v>
      </c>
      <c r="G134" s="71" t="s">
        <v>517</v>
      </c>
      <c r="H134" s="71"/>
      <c r="I134" s="71"/>
      <c r="J134" s="71"/>
      <c r="K134" s="71"/>
      <c r="L134" s="71"/>
      <c r="M134" s="71"/>
      <c r="N134" s="71"/>
      <c r="O134" s="71"/>
      <c r="Q134" s="71" t="s">
        <v>502</v>
      </c>
      <c r="R134" s="71"/>
      <c r="S134" s="71" t="s">
        <v>233</v>
      </c>
      <c r="T134" s="115">
        <v>6775</v>
      </c>
      <c r="U134" s="71" t="s">
        <v>580</v>
      </c>
    </row>
    <row r="135" spans="1:21">
      <c r="A135" s="71" t="s">
        <v>415</v>
      </c>
      <c r="B135" s="72">
        <v>5761</v>
      </c>
      <c r="C135" s="72">
        <v>2994</v>
      </c>
      <c r="D135" s="72">
        <v>6759</v>
      </c>
      <c r="E135" s="72">
        <v>2540</v>
      </c>
      <c r="F135" s="72">
        <v>3538</v>
      </c>
      <c r="G135" s="71"/>
      <c r="H135" s="71"/>
      <c r="I135" s="71"/>
      <c r="J135" s="71"/>
      <c r="K135" s="71"/>
      <c r="L135" s="71"/>
      <c r="M135" s="71"/>
      <c r="N135" s="71"/>
      <c r="O135" s="71"/>
      <c r="Q135" s="71" t="s">
        <v>502</v>
      </c>
      <c r="R135" s="71"/>
      <c r="S135" s="71" t="s">
        <v>233</v>
      </c>
      <c r="T135" s="115">
        <v>10080</v>
      </c>
      <c r="U135" s="71" t="s">
        <v>578</v>
      </c>
    </row>
    <row r="136" spans="1:2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Q136" s="71" t="s">
        <v>502</v>
      </c>
      <c r="R136" s="71"/>
      <c r="S136" s="71" t="s">
        <v>233</v>
      </c>
      <c r="T136" s="115">
        <v>10512</v>
      </c>
      <c r="U136" s="71" t="s">
        <v>580</v>
      </c>
    </row>
    <row r="137" spans="1:21" ht="15.5">
      <c r="A137" s="74" t="s">
        <v>611</v>
      </c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Q137" s="71" t="s">
        <v>502</v>
      </c>
      <c r="R137" s="71"/>
      <c r="S137" s="71" t="s">
        <v>233</v>
      </c>
      <c r="T137" s="115">
        <v>4847</v>
      </c>
      <c r="U137" s="71" t="s">
        <v>582</v>
      </c>
    </row>
    <row r="138" spans="1:21">
      <c r="A138" s="71" t="s">
        <v>612</v>
      </c>
      <c r="B138" s="71" t="s">
        <v>613</v>
      </c>
      <c r="C138" s="71" t="s">
        <v>517</v>
      </c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Q138" s="71" t="s">
        <v>502</v>
      </c>
      <c r="R138" s="71"/>
      <c r="S138" s="71" t="s">
        <v>233</v>
      </c>
      <c r="T138" s="115">
        <v>7520</v>
      </c>
      <c r="U138" s="71" t="s">
        <v>582</v>
      </c>
    </row>
    <row r="139" spans="1:21" ht="15.5">
      <c r="A139" s="71" t="s">
        <v>415</v>
      </c>
      <c r="B139" s="81">
        <v>9580</v>
      </c>
      <c r="C139" s="71" t="s">
        <v>614</v>
      </c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Q139" s="71" t="s">
        <v>502</v>
      </c>
      <c r="R139" s="71"/>
      <c r="S139" s="71" t="s">
        <v>240</v>
      </c>
      <c r="T139" s="115">
        <v>7000</v>
      </c>
      <c r="U139" s="71" t="s">
        <v>513</v>
      </c>
    </row>
    <row r="140" spans="1:2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Q140" s="71" t="s">
        <v>502</v>
      </c>
      <c r="R140" s="71"/>
      <c r="S140" s="71" t="s">
        <v>240</v>
      </c>
      <c r="T140" s="115">
        <v>4900</v>
      </c>
      <c r="U140" s="71" t="s">
        <v>578</v>
      </c>
    </row>
    <row r="141" spans="1:21" ht="15.5">
      <c r="A141" s="74" t="s">
        <v>615</v>
      </c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Q141" s="71" t="s">
        <v>502</v>
      </c>
      <c r="R141" s="71"/>
      <c r="S141" s="71" t="s">
        <v>240</v>
      </c>
      <c r="T141" s="115">
        <v>7530</v>
      </c>
      <c r="U141" s="71" t="s">
        <v>580</v>
      </c>
    </row>
    <row r="142" spans="1:21" ht="15.5">
      <c r="A142" s="74" t="s">
        <v>616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Q142" s="71" t="s">
        <v>502</v>
      </c>
      <c r="R142" s="71"/>
      <c r="S142" s="71" t="s">
        <v>240</v>
      </c>
      <c r="T142" s="115">
        <v>7000</v>
      </c>
      <c r="U142" s="71" t="s">
        <v>582</v>
      </c>
    </row>
    <row r="143" spans="1:21">
      <c r="A143" s="69" t="s">
        <v>617</v>
      </c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Q143" s="71" t="s">
        <v>502</v>
      </c>
      <c r="R143" s="71"/>
      <c r="S143" s="71" t="s">
        <v>618</v>
      </c>
      <c r="T143" s="115">
        <v>2</v>
      </c>
      <c r="U143" s="71" t="s">
        <v>619</v>
      </c>
    </row>
    <row r="144" spans="1:21">
      <c r="A144" s="71" t="s">
        <v>620</v>
      </c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Q144" s="71" t="s">
        <v>502</v>
      </c>
      <c r="R144" s="71"/>
      <c r="S144" s="71" t="s">
        <v>618</v>
      </c>
      <c r="T144" s="115">
        <v>4</v>
      </c>
      <c r="U144" s="71" t="s">
        <v>619</v>
      </c>
    </row>
    <row r="145" spans="1:21">
      <c r="A145" s="137"/>
      <c r="B145" s="137" t="s">
        <v>621</v>
      </c>
      <c r="C145" s="137" t="s">
        <v>622</v>
      </c>
      <c r="D145" s="137" t="s">
        <v>517</v>
      </c>
      <c r="E145" s="71" t="s">
        <v>623</v>
      </c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Q145" s="71" t="s">
        <v>502</v>
      </c>
      <c r="R145" s="71"/>
      <c r="S145" s="71" t="s">
        <v>618</v>
      </c>
      <c r="T145" s="115">
        <v>9</v>
      </c>
      <c r="U145" s="71" t="s">
        <v>619</v>
      </c>
    </row>
    <row r="146" spans="1:21">
      <c r="A146" s="137"/>
      <c r="B146" s="137"/>
      <c r="C146" s="137"/>
      <c r="D146" s="137"/>
      <c r="E146" s="71" t="s">
        <v>624</v>
      </c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Q146" s="71" t="s">
        <v>502</v>
      </c>
      <c r="R146" s="71"/>
      <c r="S146" s="71" t="s">
        <v>618</v>
      </c>
      <c r="T146" s="115">
        <v>9</v>
      </c>
      <c r="U146" s="71" t="s">
        <v>578</v>
      </c>
    </row>
    <row r="147" spans="1:21" ht="15.5">
      <c r="A147" s="82" t="s">
        <v>415</v>
      </c>
      <c r="B147" s="73">
        <v>1012</v>
      </c>
      <c r="C147" s="73">
        <v>1484</v>
      </c>
      <c r="D147" s="71" t="s">
        <v>625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Q147" s="71" t="s">
        <v>502</v>
      </c>
      <c r="R147" s="71"/>
      <c r="S147" s="71" t="s">
        <v>246</v>
      </c>
      <c r="T147" s="115">
        <v>50000</v>
      </c>
      <c r="U147" s="71" t="s">
        <v>586</v>
      </c>
    </row>
    <row r="148" spans="1:21" ht="15.5">
      <c r="A148" s="82" t="s">
        <v>520</v>
      </c>
      <c r="B148" s="73">
        <v>1</v>
      </c>
      <c r="C148" s="73">
        <v>22</v>
      </c>
      <c r="D148" s="71" t="s">
        <v>626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Q148" s="71" t="s">
        <v>502</v>
      </c>
      <c r="R148" s="71"/>
      <c r="S148" s="71" t="s">
        <v>246</v>
      </c>
      <c r="T148" s="115">
        <v>70000</v>
      </c>
      <c r="U148" s="71" t="s">
        <v>582</v>
      </c>
    </row>
    <row r="149" spans="1:21" ht="15.5">
      <c r="A149" s="82" t="s">
        <v>416</v>
      </c>
      <c r="B149" s="73">
        <v>6</v>
      </c>
      <c r="C149" s="73">
        <v>151</v>
      </c>
      <c r="D149" s="71" t="s">
        <v>626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Q149" s="71" t="s">
        <v>502</v>
      </c>
      <c r="R149" s="71"/>
      <c r="S149" s="71" t="s">
        <v>246</v>
      </c>
      <c r="T149" s="115">
        <v>66700</v>
      </c>
      <c r="U149" s="71" t="s">
        <v>588</v>
      </c>
    </row>
    <row r="150" spans="1:21" ht="15.5">
      <c r="A150" s="82" t="s">
        <v>250</v>
      </c>
      <c r="B150" s="72">
        <v>377</v>
      </c>
      <c r="C150" s="72">
        <v>377</v>
      </c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Q150" s="71" t="s">
        <v>502</v>
      </c>
      <c r="R150" s="71"/>
      <c r="S150" s="71" t="s">
        <v>246</v>
      </c>
      <c r="T150" s="115">
        <v>53400</v>
      </c>
      <c r="U150" s="71" t="s">
        <v>589</v>
      </c>
    </row>
    <row r="151" spans="1:21" ht="15.5">
      <c r="A151" s="82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Q151" s="71" t="s">
        <v>502</v>
      </c>
      <c r="R151" s="71"/>
      <c r="S151" s="71" t="s">
        <v>627</v>
      </c>
      <c r="T151" s="115">
        <v>7</v>
      </c>
      <c r="U151" s="71" t="s">
        <v>619</v>
      </c>
    </row>
    <row r="152" spans="1:21" ht="15.5">
      <c r="A152" s="74" t="s">
        <v>543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Q152" s="71" t="s">
        <v>502</v>
      </c>
      <c r="R152" s="71"/>
      <c r="S152" s="71" t="s">
        <v>627</v>
      </c>
      <c r="T152" s="115">
        <v>13</v>
      </c>
      <c r="U152" s="71" t="s">
        <v>619</v>
      </c>
    </row>
    <row r="153" spans="1:21" ht="15.5">
      <c r="A153" s="74" t="s">
        <v>628</v>
      </c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Q153" s="71" t="s">
        <v>502</v>
      </c>
      <c r="R153" s="71"/>
      <c r="S153" s="71" t="s">
        <v>627</v>
      </c>
      <c r="T153" s="115">
        <v>28</v>
      </c>
      <c r="U153" s="71" t="s">
        <v>619</v>
      </c>
    </row>
    <row r="154" spans="1:21">
      <c r="A154" s="69" t="s">
        <v>629</v>
      </c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Q154" s="71" t="s">
        <v>502</v>
      </c>
      <c r="R154" s="71"/>
      <c r="S154" s="71" t="s">
        <v>627</v>
      </c>
      <c r="T154" s="115">
        <v>15</v>
      </c>
      <c r="U154" s="71" t="s">
        <v>578</v>
      </c>
    </row>
    <row r="155" spans="1:21">
      <c r="A155" s="71" t="s">
        <v>630</v>
      </c>
      <c r="B155" s="71"/>
      <c r="C155" s="71"/>
      <c r="D155" s="71"/>
      <c r="E155" s="71"/>
      <c r="F155" s="71"/>
      <c r="G155" s="71" t="s">
        <v>631</v>
      </c>
      <c r="H155" s="71"/>
      <c r="I155" s="71"/>
      <c r="J155" s="71"/>
      <c r="K155" s="71"/>
      <c r="L155" s="71"/>
      <c r="M155" s="71"/>
      <c r="N155" s="71"/>
      <c r="O155" s="71"/>
      <c r="Q155" s="71" t="s">
        <v>502</v>
      </c>
      <c r="R155" s="71"/>
      <c r="S155" s="71" t="s">
        <v>632</v>
      </c>
      <c r="T155" s="115">
        <v>17</v>
      </c>
      <c r="U155" s="71" t="s">
        <v>619</v>
      </c>
    </row>
    <row r="156" spans="1:21">
      <c r="A156" s="71" t="s">
        <v>633</v>
      </c>
      <c r="B156" s="71" t="s">
        <v>634</v>
      </c>
      <c r="C156" s="71" t="s">
        <v>635</v>
      </c>
      <c r="D156" s="71" t="s">
        <v>636</v>
      </c>
      <c r="E156" s="71" t="s">
        <v>637</v>
      </c>
      <c r="F156" s="71" t="s">
        <v>517</v>
      </c>
      <c r="G156" s="71" t="s">
        <v>638</v>
      </c>
      <c r="H156" s="71" t="s">
        <v>639</v>
      </c>
      <c r="I156" s="71" t="s">
        <v>639</v>
      </c>
      <c r="J156" s="71" t="s">
        <v>640</v>
      </c>
      <c r="K156" s="71"/>
      <c r="L156" s="71"/>
      <c r="M156" s="71"/>
      <c r="N156" s="71"/>
      <c r="O156" s="71"/>
      <c r="Q156" s="71" t="s">
        <v>502</v>
      </c>
      <c r="R156" s="71"/>
      <c r="S156" s="71" t="s">
        <v>632</v>
      </c>
      <c r="T156" s="115">
        <v>41</v>
      </c>
      <c r="U156" s="71" t="s">
        <v>619</v>
      </c>
    </row>
    <row r="157" spans="1:21">
      <c r="A157" s="71" t="s">
        <v>641</v>
      </c>
      <c r="B157" s="71">
        <v>11650</v>
      </c>
      <c r="C157" s="71">
        <v>13417</v>
      </c>
      <c r="D157" s="71">
        <v>13417</v>
      </c>
      <c r="E157" s="71">
        <v>52754</v>
      </c>
      <c r="F157" s="71"/>
      <c r="G157" s="83">
        <v>5825</v>
      </c>
      <c r="H157" s="83">
        <v>5833.4782610000002</v>
      </c>
      <c r="I157" s="83">
        <v>5833.4782610000002</v>
      </c>
      <c r="J157" s="83">
        <v>10550.8</v>
      </c>
      <c r="K157" s="71" t="s">
        <v>641</v>
      </c>
      <c r="L157" s="71"/>
      <c r="M157" s="71"/>
      <c r="N157" s="71"/>
      <c r="O157" s="71"/>
      <c r="Q157" s="71" t="s">
        <v>502</v>
      </c>
      <c r="R157" s="71"/>
      <c r="S157" s="71" t="s">
        <v>632</v>
      </c>
      <c r="T157" s="115">
        <v>161</v>
      </c>
      <c r="U157" s="71" t="s">
        <v>619</v>
      </c>
    </row>
    <row r="158" spans="1:21">
      <c r="A158" s="71" t="s">
        <v>642</v>
      </c>
      <c r="B158" s="71">
        <v>8500</v>
      </c>
      <c r="C158" s="71">
        <v>0</v>
      </c>
      <c r="D158" s="71">
        <v>0</v>
      </c>
      <c r="E158" s="71">
        <v>0</v>
      </c>
      <c r="F158" s="71"/>
      <c r="G158" s="83">
        <v>4250</v>
      </c>
      <c r="H158" s="83">
        <v>0</v>
      </c>
      <c r="I158" s="83">
        <v>0</v>
      </c>
      <c r="J158" s="83">
        <v>0</v>
      </c>
      <c r="K158" s="71"/>
      <c r="L158" s="71"/>
      <c r="M158" s="71"/>
      <c r="N158" s="71"/>
      <c r="O158" s="71"/>
      <c r="Q158" s="71" t="s">
        <v>502</v>
      </c>
      <c r="R158" s="71"/>
      <c r="S158" s="71" t="s">
        <v>632</v>
      </c>
      <c r="T158" s="115">
        <v>20</v>
      </c>
      <c r="U158" s="71" t="s">
        <v>578</v>
      </c>
    </row>
    <row r="159" spans="1:21">
      <c r="A159" s="71" t="s">
        <v>643</v>
      </c>
      <c r="B159" s="71">
        <v>26366</v>
      </c>
      <c r="C159" s="71">
        <v>68663</v>
      </c>
      <c r="D159" s="71">
        <v>68663</v>
      </c>
      <c r="E159" s="71">
        <v>990401</v>
      </c>
      <c r="F159" s="71"/>
      <c r="G159" s="83">
        <v>13183</v>
      </c>
      <c r="H159" s="83">
        <v>29853.47826</v>
      </c>
      <c r="I159" s="83">
        <v>29853.47826</v>
      </c>
      <c r="J159" s="83">
        <v>198080.2</v>
      </c>
      <c r="K159" s="71"/>
      <c r="L159" s="71"/>
      <c r="M159" s="71"/>
      <c r="N159" s="71"/>
      <c r="O159" s="71"/>
      <c r="Q159" s="71" t="s">
        <v>502</v>
      </c>
      <c r="R159" s="71"/>
      <c r="S159" s="71" t="s">
        <v>239</v>
      </c>
      <c r="T159" s="115">
        <v>73000</v>
      </c>
      <c r="U159" s="71" t="s">
        <v>578</v>
      </c>
    </row>
    <row r="160" spans="1:21">
      <c r="A160" s="71" t="s">
        <v>644</v>
      </c>
      <c r="B160" s="71">
        <v>5400</v>
      </c>
      <c r="C160" s="71">
        <v>1077</v>
      </c>
      <c r="D160" s="71">
        <v>1077</v>
      </c>
      <c r="E160" s="71">
        <v>0</v>
      </c>
      <c r="F160" s="71" t="s">
        <v>645</v>
      </c>
      <c r="G160" s="71">
        <v>2700</v>
      </c>
      <c r="H160" s="71">
        <v>468.26086959999998</v>
      </c>
      <c r="I160" s="71">
        <v>468.26086959999998</v>
      </c>
      <c r="J160" s="71">
        <v>0</v>
      </c>
      <c r="K160" s="71"/>
      <c r="L160" s="71"/>
      <c r="M160" s="71"/>
      <c r="N160" s="71"/>
      <c r="O160" s="71"/>
      <c r="Q160" s="71" t="s">
        <v>502</v>
      </c>
      <c r="R160" s="71"/>
      <c r="S160" s="71" t="s">
        <v>239</v>
      </c>
      <c r="T160" s="115">
        <v>55900</v>
      </c>
      <c r="U160" s="71" t="s">
        <v>580</v>
      </c>
    </row>
    <row r="161" spans="1:21">
      <c r="A161" s="71" t="s">
        <v>646</v>
      </c>
      <c r="B161" s="71">
        <v>24082</v>
      </c>
      <c r="C161" s="71">
        <v>50539</v>
      </c>
      <c r="D161" s="71">
        <v>50539</v>
      </c>
      <c r="E161" s="71">
        <v>156091</v>
      </c>
      <c r="F161" s="71"/>
      <c r="G161" s="71">
        <v>12041</v>
      </c>
      <c r="H161" s="71">
        <v>21973.47826</v>
      </c>
      <c r="I161" s="71">
        <v>21973.47826</v>
      </c>
      <c r="J161" s="71">
        <v>31218.2</v>
      </c>
      <c r="K161" s="71"/>
      <c r="L161" s="71"/>
      <c r="M161" s="71"/>
      <c r="N161" s="71"/>
      <c r="O161" s="71"/>
      <c r="Q161" s="71" t="s">
        <v>502</v>
      </c>
      <c r="R161" s="71"/>
      <c r="S161" s="71" t="s">
        <v>239</v>
      </c>
      <c r="T161" s="115">
        <v>56000</v>
      </c>
      <c r="U161" s="71" t="s">
        <v>582</v>
      </c>
    </row>
    <row r="162" spans="1:21">
      <c r="A162" s="71" t="s">
        <v>647</v>
      </c>
      <c r="B162" s="71">
        <v>1583</v>
      </c>
      <c r="C162" s="71">
        <v>10029</v>
      </c>
      <c r="D162" s="71">
        <v>10029</v>
      </c>
      <c r="E162" s="71">
        <v>43715</v>
      </c>
      <c r="F162" s="71"/>
      <c r="G162" s="71">
        <v>791.5</v>
      </c>
      <c r="H162" s="71">
        <v>4360.4347829999997</v>
      </c>
      <c r="I162" s="71">
        <v>4360.4347829999997</v>
      </c>
      <c r="J162" s="71">
        <v>8743</v>
      </c>
      <c r="K162" s="71" t="s">
        <v>415</v>
      </c>
      <c r="L162" s="71"/>
      <c r="M162" s="71"/>
      <c r="N162" s="71"/>
      <c r="O162" s="71"/>
      <c r="Q162" s="71" t="s">
        <v>505</v>
      </c>
      <c r="R162" s="71"/>
      <c r="S162" s="71" t="s">
        <v>241</v>
      </c>
      <c r="T162" s="115">
        <v>31300</v>
      </c>
      <c r="U162" s="71" t="s">
        <v>576</v>
      </c>
    </row>
    <row r="163" spans="1:21">
      <c r="A163" s="71" t="s">
        <v>648</v>
      </c>
      <c r="B163" s="71">
        <v>1271</v>
      </c>
      <c r="C163" s="71">
        <v>1228</v>
      </c>
      <c r="D163" s="71">
        <v>1228</v>
      </c>
      <c r="E163" s="71">
        <v>961</v>
      </c>
      <c r="F163" s="71"/>
      <c r="G163" s="71">
        <v>635.5</v>
      </c>
      <c r="H163" s="71">
        <v>533.91304349999996</v>
      </c>
      <c r="I163" s="71">
        <v>533.91304349999996</v>
      </c>
      <c r="J163" s="71">
        <v>192.2</v>
      </c>
      <c r="K163" s="71" t="s">
        <v>649</v>
      </c>
      <c r="L163" s="71"/>
      <c r="M163" s="71"/>
      <c r="N163" s="71"/>
      <c r="O163" s="71"/>
      <c r="Q163" s="71" t="s">
        <v>505</v>
      </c>
      <c r="R163" s="71"/>
      <c r="S163" s="71" t="s">
        <v>241</v>
      </c>
      <c r="T163" s="115">
        <v>6885</v>
      </c>
      <c r="U163" s="71" t="s">
        <v>578</v>
      </c>
    </row>
    <row r="164" spans="1:21" ht="15.5">
      <c r="A164" s="75" t="s">
        <v>650</v>
      </c>
      <c r="B164" s="71">
        <v>165000</v>
      </c>
      <c r="C164" s="71">
        <v>1123095</v>
      </c>
      <c r="D164" s="71">
        <v>1123095</v>
      </c>
      <c r="E164" s="71">
        <v>347460</v>
      </c>
      <c r="F164" s="71"/>
      <c r="G164" s="71">
        <v>82500</v>
      </c>
      <c r="H164" s="71">
        <v>488302.17389999999</v>
      </c>
      <c r="I164" s="71">
        <v>488302.17389999999</v>
      </c>
      <c r="J164" s="71">
        <v>69492</v>
      </c>
      <c r="K164" s="71"/>
      <c r="L164" s="71"/>
      <c r="M164" s="71"/>
      <c r="N164" s="71"/>
      <c r="O164" s="71"/>
      <c r="Q164" s="71" t="s">
        <v>505</v>
      </c>
      <c r="R164" s="71"/>
      <c r="S164" s="71" t="s">
        <v>241</v>
      </c>
      <c r="T164" s="115">
        <v>15390</v>
      </c>
      <c r="U164" s="71" t="s">
        <v>580</v>
      </c>
    </row>
    <row r="165" spans="1:21" ht="15.5">
      <c r="A165" s="75" t="s">
        <v>651</v>
      </c>
      <c r="B165" s="71">
        <v>62551</v>
      </c>
      <c r="C165" s="71">
        <v>600000</v>
      </c>
      <c r="D165" s="71">
        <v>862500</v>
      </c>
      <c r="E165" s="71">
        <v>1150000</v>
      </c>
      <c r="F165" s="71"/>
      <c r="G165" s="71">
        <v>31275.5</v>
      </c>
      <c r="H165" s="71">
        <v>260869.56520000001</v>
      </c>
      <c r="I165" s="71">
        <v>375000</v>
      </c>
      <c r="J165" s="71">
        <v>230000</v>
      </c>
      <c r="K165" s="71"/>
      <c r="L165" s="71"/>
      <c r="M165" s="71"/>
      <c r="N165" s="71"/>
      <c r="O165" s="71"/>
      <c r="Q165" s="71" t="s">
        <v>505</v>
      </c>
      <c r="R165" s="71"/>
      <c r="S165" s="71" t="s">
        <v>241</v>
      </c>
      <c r="T165" s="115">
        <v>15390</v>
      </c>
      <c r="U165" s="71" t="s">
        <v>582</v>
      </c>
    </row>
    <row r="166" spans="1:21" ht="15.5">
      <c r="A166" s="75" t="s">
        <v>652</v>
      </c>
      <c r="B166" s="71">
        <v>0</v>
      </c>
      <c r="C166" s="71">
        <v>0</v>
      </c>
      <c r="D166" s="71">
        <v>0</v>
      </c>
      <c r="E166" s="71">
        <v>0</v>
      </c>
      <c r="F166" s="71"/>
      <c r="G166" s="71">
        <v>0</v>
      </c>
      <c r="H166" s="71">
        <v>0</v>
      </c>
      <c r="I166" s="71">
        <v>0</v>
      </c>
      <c r="J166" s="71">
        <v>0</v>
      </c>
      <c r="K166" s="71"/>
      <c r="L166" s="71"/>
      <c r="M166" s="71"/>
      <c r="N166" s="71"/>
      <c r="O166" s="71"/>
      <c r="Q166" s="71" t="s">
        <v>505</v>
      </c>
      <c r="R166" s="71"/>
      <c r="S166" s="71" t="s">
        <v>653</v>
      </c>
      <c r="T166" s="115">
        <v>17</v>
      </c>
      <c r="U166" s="71" t="s">
        <v>619</v>
      </c>
    </row>
    <row r="167" spans="1:21" ht="15.5">
      <c r="A167" s="82"/>
      <c r="B167" s="71"/>
      <c r="C167" s="71"/>
      <c r="D167" s="71"/>
      <c r="E167" s="71"/>
      <c r="F167" s="71" t="s">
        <v>654</v>
      </c>
      <c r="G167" s="71">
        <v>145949.5</v>
      </c>
      <c r="H167" s="71">
        <v>801466.95649999997</v>
      </c>
      <c r="I167" s="71">
        <v>915597.39130000002</v>
      </c>
      <c r="J167" s="71">
        <v>528790.4</v>
      </c>
      <c r="K167" s="71" t="s">
        <v>239</v>
      </c>
      <c r="L167" s="71"/>
      <c r="M167" s="71"/>
      <c r="N167" s="71"/>
      <c r="O167" s="71"/>
      <c r="Q167" s="71" t="s">
        <v>505</v>
      </c>
      <c r="R167" s="71"/>
      <c r="S167" s="71" t="s">
        <v>653</v>
      </c>
      <c r="T167" s="115">
        <v>62</v>
      </c>
      <c r="U167" s="71" t="s">
        <v>619</v>
      </c>
    </row>
    <row r="168" spans="1:21" ht="15.5">
      <c r="A168" s="82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Q168" s="71" t="s">
        <v>505</v>
      </c>
      <c r="R168" s="71"/>
      <c r="S168" s="71" t="s">
        <v>653</v>
      </c>
      <c r="T168" s="115">
        <v>138</v>
      </c>
      <c r="U168" s="71" t="s">
        <v>619</v>
      </c>
    </row>
    <row r="169" spans="1:21" ht="15.5">
      <c r="A169" s="82"/>
      <c r="B169" s="71" t="s">
        <v>655</v>
      </c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Q169" s="71" t="s">
        <v>505</v>
      </c>
      <c r="R169" s="71"/>
      <c r="S169" s="71" t="s">
        <v>653</v>
      </c>
      <c r="T169" s="115">
        <v>29</v>
      </c>
      <c r="U169" s="71" t="s">
        <v>578</v>
      </c>
    </row>
    <row r="170" spans="1:21" ht="15.5">
      <c r="A170" s="82"/>
      <c r="B170" s="71" t="s">
        <v>656</v>
      </c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Q170" s="71" t="s">
        <v>505</v>
      </c>
      <c r="R170" s="71"/>
      <c r="S170" s="71" t="s">
        <v>233</v>
      </c>
      <c r="T170" s="115">
        <v>6497</v>
      </c>
      <c r="U170" s="71" t="s">
        <v>578</v>
      </c>
    </row>
    <row r="171" spans="1:21" ht="15.5">
      <c r="A171" s="82"/>
      <c r="B171" s="71" t="s">
        <v>638</v>
      </c>
      <c r="C171" s="71" t="s">
        <v>639</v>
      </c>
      <c r="D171" s="71" t="s">
        <v>639</v>
      </c>
      <c r="E171" s="71" t="s">
        <v>640</v>
      </c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Q171" s="71" t="s">
        <v>505</v>
      </c>
      <c r="R171" s="71"/>
      <c r="S171" s="71" t="s">
        <v>233</v>
      </c>
      <c r="T171" s="115">
        <v>6775</v>
      </c>
      <c r="U171" s="71" t="s">
        <v>580</v>
      </c>
    </row>
    <row r="172" spans="1:21">
      <c r="A172" s="71" t="s">
        <v>641</v>
      </c>
      <c r="B172" s="72">
        <v>5825</v>
      </c>
      <c r="C172" s="72">
        <v>5833</v>
      </c>
      <c r="D172" s="72">
        <v>5833</v>
      </c>
      <c r="E172" s="72">
        <v>10551</v>
      </c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Q172" s="71" t="s">
        <v>505</v>
      </c>
      <c r="R172" s="71"/>
      <c r="S172" s="71" t="s">
        <v>233</v>
      </c>
      <c r="T172" s="115">
        <v>10080</v>
      </c>
      <c r="U172" s="71" t="s">
        <v>578</v>
      </c>
    </row>
    <row r="173" spans="1:21">
      <c r="A173" s="71" t="s">
        <v>642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Q173" s="71" t="s">
        <v>505</v>
      </c>
      <c r="R173" s="71"/>
      <c r="S173" s="71" t="s">
        <v>233</v>
      </c>
      <c r="T173" s="115">
        <v>10512</v>
      </c>
      <c r="U173" s="71" t="s">
        <v>580</v>
      </c>
    </row>
    <row r="174" spans="1:21">
      <c r="A174" s="71" t="s">
        <v>643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Q174" s="71" t="s">
        <v>505</v>
      </c>
      <c r="R174" s="71"/>
      <c r="S174" s="71" t="s">
        <v>233</v>
      </c>
      <c r="T174" s="115">
        <v>4847</v>
      </c>
      <c r="U174" s="71" t="s">
        <v>582</v>
      </c>
    </row>
    <row r="175" spans="1:21">
      <c r="A175" s="71" t="s">
        <v>644</v>
      </c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Q175" s="71" t="s">
        <v>505</v>
      </c>
      <c r="R175" s="71"/>
      <c r="S175" s="71" t="s">
        <v>233</v>
      </c>
      <c r="T175" s="115">
        <v>7520</v>
      </c>
      <c r="U175" s="71" t="s">
        <v>582</v>
      </c>
    </row>
    <row r="176" spans="1:21">
      <c r="A176" s="71" t="s">
        <v>646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Q176" s="71" t="s">
        <v>505</v>
      </c>
      <c r="R176" s="71"/>
      <c r="S176" s="71" t="s">
        <v>240</v>
      </c>
      <c r="T176" s="115">
        <v>7000</v>
      </c>
      <c r="U176" s="71" t="s">
        <v>513</v>
      </c>
    </row>
    <row r="177" spans="1:21">
      <c r="A177" s="71" t="s">
        <v>647</v>
      </c>
      <c r="B177" s="72">
        <v>1649.5</v>
      </c>
      <c r="C177" s="72">
        <v>5218.4347829999997</v>
      </c>
      <c r="D177" s="72">
        <v>5218.4347829999997</v>
      </c>
      <c r="E177" s="72">
        <v>9601</v>
      </c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Q177" s="71" t="s">
        <v>505</v>
      </c>
      <c r="R177" s="71"/>
      <c r="S177" s="71" t="s">
        <v>240</v>
      </c>
      <c r="T177" s="115">
        <v>4900</v>
      </c>
      <c r="U177" s="71" t="s">
        <v>578</v>
      </c>
    </row>
    <row r="178" spans="1:21">
      <c r="A178" s="71" t="s">
        <v>648</v>
      </c>
      <c r="B178" s="72">
        <v>999.5</v>
      </c>
      <c r="C178" s="72">
        <v>897.91304349999996</v>
      </c>
      <c r="D178" s="72">
        <v>897.91304349999996</v>
      </c>
      <c r="E178" s="72">
        <v>556.20000000000005</v>
      </c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Q178" s="71" t="s">
        <v>505</v>
      </c>
      <c r="R178" s="71"/>
      <c r="S178" s="71" t="s">
        <v>240</v>
      </c>
      <c r="T178" s="115">
        <v>7530</v>
      </c>
      <c r="U178" s="71" t="s">
        <v>580</v>
      </c>
    </row>
    <row r="179" spans="1:21" ht="15.5">
      <c r="A179" s="75" t="s">
        <v>650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Q179" s="71" t="s">
        <v>505</v>
      </c>
      <c r="R179" s="71"/>
      <c r="S179" s="71" t="s">
        <v>240</v>
      </c>
      <c r="T179" s="115">
        <v>7000</v>
      </c>
      <c r="U179" s="71" t="s">
        <v>582</v>
      </c>
    </row>
    <row r="180" spans="1:21" ht="15.5">
      <c r="A180" s="75" t="s">
        <v>651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Q180" s="71" t="s">
        <v>505</v>
      </c>
      <c r="R180" s="71"/>
      <c r="S180" s="71" t="s">
        <v>246</v>
      </c>
      <c r="T180" s="115">
        <v>50000</v>
      </c>
      <c r="U180" s="71" t="s">
        <v>586</v>
      </c>
    </row>
    <row r="181" spans="1:21" ht="15.5">
      <c r="A181" s="75" t="s">
        <v>652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Q181" s="71" t="s">
        <v>505</v>
      </c>
      <c r="R181" s="71"/>
      <c r="S181" s="71" t="s">
        <v>246</v>
      </c>
      <c r="T181" s="115">
        <v>70000</v>
      </c>
      <c r="U181" s="71" t="s">
        <v>582</v>
      </c>
    </row>
    <row r="182" spans="1:21">
      <c r="A182" s="71" t="s">
        <v>654</v>
      </c>
      <c r="B182" s="72">
        <v>147576.5</v>
      </c>
      <c r="C182" s="72">
        <v>803093.95649999997</v>
      </c>
      <c r="D182" s="72">
        <v>917224.39130000002</v>
      </c>
      <c r="E182" s="72">
        <v>530417.4</v>
      </c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Q182" s="71" t="s">
        <v>505</v>
      </c>
      <c r="R182" s="71"/>
      <c r="S182" s="71" t="s">
        <v>246</v>
      </c>
      <c r="T182" s="115">
        <v>66700</v>
      </c>
      <c r="U182" s="71" t="s">
        <v>588</v>
      </c>
    </row>
    <row r="183" spans="1:21" ht="15.5">
      <c r="A183" s="82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Q183" s="71" t="s">
        <v>505</v>
      </c>
      <c r="R183" s="71"/>
      <c r="S183" s="71" t="s">
        <v>246</v>
      </c>
      <c r="T183" s="115">
        <v>53400</v>
      </c>
      <c r="U183" s="71" t="s">
        <v>589</v>
      </c>
    </row>
    <row r="184" spans="1:21" ht="15.5">
      <c r="A184" s="74" t="s">
        <v>657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Q184" s="71" t="s">
        <v>505</v>
      </c>
      <c r="R184" s="71"/>
      <c r="S184" s="71" t="s">
        <v>239</v>
      </c>
      <c r="T184" s="115">
        <v>73000</v>
      </c>
      <c r="U184" s="71" t="s">
        <v>578</v>
      </c>
    </row>
    <row r="185" spans="1:21" ht="15.5">
      <c r="A185" s="74" t="s">
        <v>658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Q185" s="71" t="s">
        <v>505</v>
      </c>
      <c r="R185" s="71"/>
      <c r="S185" s="71" t="s">
        <v>239</v>
      </c>
      <c r="T185" s="115">
        <v>55900</v>
      </c>
      <c r="U185" s="71" t="s">
        <v>580</v>
      </c>
    </row>
    <row r="186" spans="1:21">
      <c r="A186" s="69" t="s">
        <v>659</v>
      </c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Q186" s="71" t="s">
        <v>505</v>
      </c>
      <c r="R186" s="71"/>
      <c r="S186" s="71" t="s">
        <v>239</v>
      </c>
      <c r="T186" s="115">
        <v>56000</v>
      </c>
      <c r="U186" s="71" t="s">
        <v>582</v>
      </c>
    </row>
    <row r="187" spans="1:21">
      <c r="A187" s="71" t="s">
        <v>660</v>
      </c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Q187" s="71" t="s">
        <v>505</v>
      </c>
      <c r="R187" s="71"/>
      <c r="S187" s="71" t="s">
        <v>661</v>
      </c>
      <c r="T187" s="115">
        <v>19</v>
      </c>
      <c r="U187" s="71" t="s">
        <v>619</v>
      </c>
    </row>
    <row r="188" spans="1:21">
      <c r="A188" s="71" t="s">
        <v>662</v>
      </c>
      <c r="B188" s="71" t="s">
        <v>663</v>
      </c>
      <c r="C188" s="71" t="s">
        <v>664</v>
      </c>
      <c r="D188" s="71" t="s">
        <v>517</v>
      </c>
      <c r="E188" s="71" t="s">
        <v>665</v>
      </c>
      <c r="F188" s="71" t="s">
        <v>666</v>
      </c>
      <c r="G188" s="71"/>
      <c r="H188" s="71"/>
      <c r="I188" s="71"/>
      <c r="J188" s="71"/>
      <c r="K188" s="71"/>
      <c r="L188" s="71"/>
      <c r="M188" s="71"/>
      <c r="N188" s="71"/>
      <c r="O188" s="71"/>
      <c r="Q188" s="71" t="s">
        <v>505</v>
      </c>
      <c r="R188" s="71"/>
      <c r="S188" s="71" t="s">
        <v>661</v>
      </c>
      <c r="T188" s="115">
        <v>70</v>
      </c>
      <c r="U188" s="71" t="s">
        <v>619</v>
      </c>
    </row>
    <row r="189" spans="1:21">
      <c r="A189" s="71" t="s">
        <v>667</v>
      </c>
      <c r="B189" s="71">
        <v>383259</v>
      </c>
      <c r="C189" s="71">
        <v>1627186</v>
      </c>
      <c r="D189" s="71" t="s">
        <v>668</v>
      </c>
      <c r="E189" s="71">
        <v>193256686</v>
      </c>
      <c r="F189" s="72">
        <v>193256.68599999999</v>
      </c>
      <c r="G189" s="71"/>
      <c r="H189" s="71"/>
      <c r="I189" s="71"/>
      <c r="J189" s="71"/>
      <c r="K189" s="71"/>
      <c r="L189" s="71"/>
      <c r="M189" s="71"/>
      <c r="N189" s="71"/>
      <c r="O189" s="71"/>
      <c r="Q189" s="71" t="s">
        <v>505</v>
      </c>
      <c r="R189" s="71"/>
      <c r="S189" s="71" t="s">
        <v>661</v>
      </c>
      <c r="T189" s="115">
        <v>156</v>
      </c>
      <c r="U189" s="71" t="s">
        <v>619</v>
      </c>
    </row>
    <row r="190" spans="1:21">
      <c r="A190" s="71" t="s">
        <v>415</v>
      </c>
      <c r="B190" s="71">
        <v>2958</v>
      </c>
      <c r="C190" s="71">
        <v>858237</v>
      </c>
      <c r="D190" s="71"/>
      <c r="E190" s="71">
        <v>2337237</v>
      </c>
      <c r="F190" s="72">
        <v>2337.2370000000001</v>
      </c>
      <c r="G190" s="71"/>
      <c r="H190" s="71"/>
      <c r="I190" s="71"/>
      <c r="J190" s="71"/>
      <c r="K190" s="71"/>
      <c r="L190" s="71"/>
      <c r="M190" s="71"/>
      <c r="N190" s="71"/>
      <c r="O190" s="71"/>
      <c r="Q190" s="71" t="s">
        <v>505</v>
      </c>
      <c r="R190" s="71"/>
      <c r="S190" s="71" t="s">
        <v>661</v>
      </c>
      <c r="T190" s="115">
        <v>31</v>
      </c>
      <c r="U190" s="71" t="s">
        <v>578</v>
      </c>
    </row>
    <row r="191" spans="1:21">
      <c r="A191" s="71" t="s">
        <v>649</v>
      </c>
      <c r="B191" s="71">
        <v>3545</v>
      </c>
      <c r="C191" s="71">
        <v>364450</v>
      </c>
      <c r="D191" s="71"/>
      <c r="E191" s="71">
        <v>2136950</v>
      </c>
      <c r="F191" s="72">
        <v>2136.9499999999998</v>
      </c>
      <c r="G191" s="71"/>
      <c r="H191" s="71"/>
      <c r="I191" s="71"/>
      <c r="J191" s="71"/>
      <c r="K191" s="71"/>
      <c r="L191" s="71"/>
      <c r="M191" s="71"/>
      <c r="N191" s="71"/>
      <c r="O191" s="71"/>
      <c r="Q191" s="71" t="s">
        <v>508</v>
      </c>
      <c r="R191" s="71"/>
      <c r="S191" s="71" t="s">
        <v>241</v>
      </c>
      <c r="T191" s="115">
        <v>31300</v>
      </c>
      <c r="U191" s="71" t="s">
        <v>576</v>
      </c>
    </row>
    <row r="192" spans="1:21">
      <c r="A192" s="71" t="s">
        <v>413</v>
      </c>
      <c r="B192" s="71">
        <v>0</v>
      </c>
      <c r="C192" s="71">
        <v>1375000</v>
      </c>
      <c r="D192" s="71"/>
      <c r="E192" s="71">
        <v>1375000</v>
      </c>
      <c r="F192" s="72">
        <v>1375</v>
      </c>
      <c r="G192" s="71"/>
      <c r="H192" s="71"/>
      <c r="I192" s="71"/>
      <c r="J192" s="71"/>
      <c r="K192" s="71"/>
      <c r="L192" s="71"/>
      <c r="M192" s="71"/>
      <c r="N192" s="71"/>
      <c r="O192" s="71"/>
      <c r="Q192" s="71" t="s">
        <v>508</v>
      </c>
      <c r="R192" s="71"/>
      <c r="S192" s="71" t="s">
        <v>241</v>
      </c>
      <c r="T192" s="115">
        <v>6885</v>
      </c>
      <c r="U192" s="71" t="s">
        <v>578</v>
      </c>
    </row>
    <row r="193" spans="1:21">
      <c r="A193" s="71" t="s">
        <v>669</v>
      </c>
      <c r="B193" s="71">
        <v>21842</v>
      </c>
      <c r="C193" s="71"/>
      <c r="D193" s="71"/>
      <c r="E193" s="71">
        <v>10921000</v>
      </c>
      <c r="F193" s="72">
        <v>10921</v>
      </c>
      <c r="G193" s="71"/>
      <c r="H193" s="71"/>
      <c r="I193" s="71"/>
      <c r="J193" s="71"/>
      <c r="K193" s="71"/>
      <c r="L193" s="71"/>
      <c r="M193" s="71"/>
      <c r="N193" s="71"/>
      <c r="O193" s="71"/>
      <c r="Q193" s="71" t="s">
        <v>508</v>
      </c>
      <c r="R193" s="71"/>
      <c r="S193" s="71" t="s">
        <v>241</v>
      </c>
      <c r="T193" s="115">
        <v>15390</v>
      </c>
      <c r="U193" s="71" t="s">
        <v>580</v>
      </c>
    </row>
    <row r="194" spans="1:2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Q194" s="71" t="s">
        <v>508</v>
      </c>
      <c r="R194" s="71"/>
      <c r="S194" s="71" t="s">
        <v>241</v>
      </c>
      <c r="T194" s="115">
        <v>15390</v>
      </c>
      <c r="U194" s="71" t="s">
        <v>582</v>
      </c>
    </row>
    <row r="195" spans="1:21">
      <c r="A195" s="71" t="s">
        <v>526</v>
      </c>
      <c r="B195" s="71" t="s">
        <v>527</v>
      </c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Q195" s="71" t="s">
        <v>508</v>
      </c>
      <c r="R195" s="71"/>
      <c r="S195" s="71" t="s">
        <v>233</v>
      </c>
      <c r="T195" s="115">
        <v>6497</v>
      </c>
      <c r="U195" s="71" t="s">
        <v>578</v>
      </c>
    </row>
    <row r="196" spans="1:21">
      <c r="A196" s="71" t="s">
        <v>528</v>
      </c>
      <c r="B196" s="71">
        <v>859.375</v>
      </c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Q196" s="71" t="s">
        <v>508</v>
      </c>
      <c r="R196" s="71"/>
      <c r="S196" s="71" t="s">
        <v>233</v>
      </c>
      <c r="T196" s="115">
        <v>6775</v>
      </c>
      <c r="U196" s="71" t="s">
        <v>580</v>
      </c>
    </row>
    <row r="197" spans="1:21">
      <c r="A197" s="71" t="s">
        <v>530</v>
      </c>
      <c r="B197" s="71">
        <v>550</v>
      </c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Q197" s="71" t="s">
        <v>508</v>
      </c>
      <c r="R197" s="71"/>
      <c r="S197" s="71" t="s">
        <v>233</v>
      </c>
      <c r="T197" s="115">
        <v>10080</v>
      </c>
      <c r="U197" s="71" t="s">
        <v>578</v>
      </c>
    </row>
    <row r="198" spans="1:2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Q198" s="71" t="s">
        <v>508</v>
      </c>
      <c r="R198" s="71"/>
      <c r="S198" s="71" t="s">
        <v>233</v>
      </c>
      <c r="T198" s="115">
        <v>10512</v>
      </c>
      <c r="U198" s="71" t="s">
        <v>580</v>
      </c>
    </row>
    <row r="199" spans="1:21">
      <c r="A199" s="71"/>
      <c r="B199" s="71" t="s">
        <v>531</v>
      </c>
      <c r="C199" s="71" t="s">
        <v>532</v>
      </c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Q199" s="71" t="s">
        <v>508</v>
      </c>
      <c r="R199" s="71"/>
      <c r="S199" s="71" t="s">
        <v>233</v>
      </c>
      <c r="T199" s="115">
        <v>4847</v>
      </c>
      <c r="U199" s="71" t="s">
        <v>582</v>
      </c>
    </row>
    <row r="200" spans="1:21">
      <c r="A200" s="71" t="s">
        <v>534</v>
      </c>
      <c r="B200" s="71">
        <v>141796.875</v>
      </c>
      <c r="C200" s="72">
        <v>141.796875</v>
      </c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Q200" s="71" t="s">
        <v>508</v>
      </c>
      <c r="R200" s="71"/>
      <c r="S200" s="71" t="s">
        <v>233</v>
      </c>
      <c r="T200" s="115">
        <v>7520</v>
      </c>
      <c r="U200" s="71" t="s">
        <v>582</v>
      </c>
    </row>
    <row r="201" spans="1:21">
      <c r="A201" s="71" t="s">
        <v>536</v>
      </c>
      <c r="B201" s="71">
        <v>220000</v>
      </c>
      <c r="C201" s="72">
        <v>220</v>
      </c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Q201" s="71" t="s">
        <v>508</v>
      </c>
      <c r="R201" s="71"/>
      <c r="S201" s="71" t="s">
        <v>240</v>
      </c>
      <c r="T201" s="115">
        <v>7000</v>
      </c>
      <c r="U201" s="71" t="s">
        <v>513</v>
      </c>
    </row>
    <row r="202" spans="1:21">
      <c r="Q202" s="71" t="s">
        <v>508</v>
      </c>
      <c r="R202" s="71"/>
      <c r="S202" s="71" t="s">
        <v>240</v>
      </c>
      <c r="T202" s="115">
        <v>4900</v>
      </c>
      <c r="U202" s="71" t="s">
        <v>578</v>
      </c>
    </row>
    <row r="203" spans="1:21">
      <c r="Q203" s="71" t="s">
        <v>508</v>
      </c>
      <c r="R203" s="71"/>
      <c r="S203" s="71" t="s">
        <v>240</v>
      </c>
      <c r="T203" s="115">
        <v>7530</v>
      </c>
      <c r="U203" s="71" t="s">
        <v>580</v>
      </c>
    </row>
    <row r="204" spans="1:21" s="88" customFormat="1">
      <c r="A204" s="88" t="s">
        <v>670</v>
      </c>
      <c r="Q204" s="71" t="s">
        <v>508</v>
      </c>
      <c r="R204" s="71"/>
      <c r="S204" s="71" t="s">
        <v>240</v>
      </c>
      <c r="T204" s="115">
        <v>7000</v>
      </c>
      <c r="U204" s="71" t="s">
        <v>582</v>
      </c>
    </row>
    <row r="205" spans="1:21">
      <c r="Q205" s="71" t="s">
        <v>508</v>
      </c>
      <c r="R205" s="71"/>
      <c r="S205" s="71" t="s">
        <v>246</v>
      </c>
      <c r="T205" s="115">
        <v>50000</v>
      </c>
      <c r="U205" s="71" t="s">
        <v>586</v>
      </c>
    </row>
    <row r="206" spans="1:21">
      <c r="A206" s="71" t="s">
        <v>671</v>
      </c>
      <c r="B206" s="71"/>
      <c r="C206" s="71"/>
      <c r="D206" s="71"/>
      <c r="E206" s="71"/>
      <c r="F206" s="71"/>
      <c r="G206" s="71"/>
      <c r="Q206" s="71" t="s">
        <v>508</v>
      </c>
      <c r="R206" s="71"/>
      <c r="S206" s="71" t="s">
        <v>246</v>
      </c>
      <c r="T206" s="115">
        <v>70000</v>
      </c>
      <c r="U206" s="71" t="s">
        <v>582</v>
      </c>
    </row>
    <row r="207" spans="1:21">
      <c r="A207" s="71" t="s">
        <v>672</v>
      </c>
      <c r="B207" s="71"/>
      <c r="C207" s="71"/>
      <c r="D207" s="71"/>
      <c r="E207" s="71"/>
      <c r="F207" s="71"/>
      <c r="G207" s="71"/>
      <c r="Q207" s="71" t="s">
        <v>508</v>
      </c>
      <c r="R207" s="71"/>
      <c r="S207" s="71" t="s">
        <v>246</v>
      </c>
      <c r="T207" s="115">
        <v>66700</v>
      </c>
      <c r="U207" s="71" t="s">
        <v>588</v>
      </c>
    </row>
    <row r="208" spans="1:21">
      <c r="A208" s="71" t="s">
        <v>673</v>
      </c>
      <c r="B208" s="71"/>
      <c r="C208" s="71"/>
      <c r="D208" s="71"/>
      <c r="E208" s="71"/>
      <c r="F208" s="71"/>
      <c r="G208" s="71"/>
      <c r="Q208" s="71" t="s">
        <v>508</v>
      </c>
      <c r="R208" s="71"/>
      <c r="S208" s="71" t="s">
        <v>246</v>
      </c>
      <c r="T208" s="115">
        <v>53400</v>
      </c>
      <c r="U208" s="71" t="s">
        <v>589</v>
      </c>
    </row>
    <row r="209" spans="1:21">
      <c r="A209" s="72" t="s">
        <v>674</v>
      </c>
      <c r="B209" s="71"/>
      <c r="C209" s="71"/>
      <c r="D209" s="71"/>
      <c r="E209" s="71"/>
      <c r="F209" s="71"/>
      <c r="G209" s="71"/>
      <c r="Q209" s="71" t="s">
        <v>508</v>
      </c>
      <c r="R209" s="71"/>
      <c r="S209" s="71" t="s">
        <v>247</v>
      </c>
      <c r="T209" s="115">
        <v>58</v>
      </c>
      <c r="U209" s="71" t="s">
        <v>586</v>
      </c>
    </row>
    <row r="210" spans="1:21">
      <c r="A210" s="73" t="s">
        <v>495</v>
      </c>
      <c r="B210" s="71"/>
      <c r="C210" s="71"/>
      <c r="D210" s="71"/>
      <c r="E210" s="71"/>
      <c r="F210" s="71"/>
      <c r="G210" s="71"/>
      <c r="Q210" s="71" t="s">
        <v>508</v>
      </c>
      <c r="R210" s="71"/>
      <c r="S210" s="71" t="s">
        <v>239</v>
      </c>
      <c r="T210" s="115">
        <v>73000</v>
      </c>
      <c r="U210" s="71" t="s">
        <v>578</v>
      </c>
    </row>
    <row r="211" spans="1:21">
      <c r="A211" s="71"/>
      <c r="B211" s="71"/>
      <c r="C211" s="71"/>
      <c r="D211" s="71"/>
      <c r="E211" s="71"/>
      <c r="F211" s="71"/>
      <c r="G211" s="71"/>
      <c r="Q211" s="71" t="s">
        <v>508</v>
      </c>
      <c r="R211" s="71"/>
      <c r="S211" s="71" t="s">
        <v>239</v>
      </c>
      <c r="T211" s="115">
        <v>55900</v>
      </c>
      <c r="U211" s="71" t="s">
        <v>580</v>
      </c>
    </row>
    <row r="212" spans="1:21" ht="15.5">
      <c r="A212" s="74" t="s">
        <v>619</v>
      </c>
      <c r="B212" s="74"/>
      <c r="C212" s="74"/>
      <c r="D212" s="74"/>
      <c r="E212" s="74"/>
      <c r="F212" s="74"/>
      <c r="G212" s="74"/>
      <c r="Q212" s="71" t="s">
        <v>508</v>
      </c>
      <c r="R212" s="71"/>
      <c r="S212" s="71" t="s">
        <v>239</v>
      </c>
      <c r="T212" s="115">
        <v>56000</v>
      </c>
      <c r="U212" s="71" t="s">
        <v>582</v>
      </c>
    </row>
    <row r="213" spans="1:21" ht="15.5">
      <c r="A213" s="74" t="s">
        <v>675</v>
      </c>
      <c r="B213" s="74"/>
      <c r="C213" s="74"/>
      <c r="D213" s="74"/>
      <c r="E213" s="74"/>
      <c r="F213" s="74"/>
      <c r="G213" s="74"/>
      <c r="Q213" s="71" t="s">
        <v>420</v>
      </c>
      <c r="R213" s="22" t="s">
        <v>167</v>
      </c>
      <c r="S213" s="71" t="s">
        <v>248</v>
      </c>
      <c r="T213" s="115">
        <v>13</v>
      </c>
      <c r="U213" s="71" t="s">
        <v>676</v>
      </c>
    </row>
    <row r="214" spans="1:21">
      <c r="A214" s="69" t="s">
        <v>677</v>
      </c>
      <c r="B214" s="71"/>
      <c r="C214" s="71"/>
      <c r="D214" s="71"/>
      <c r="E214" s="71"/>
      <c r="F214" s="71"/>
      <c r="G214" s="71"/>
      <c r="Q214" s="71" t="s">
        <v>420</v>
      </c>
      <c r="R214" s="22" t="s">
        <v>167</v>
      </c>
      <c r="S214" s="71" t="s">
        <v>248</v>
      </c>
      <c r="T214" s="115">
        <v>16</v>
      </c>
      <c r="U214" s="71" t="s">
        <v>676</v>
      </c>
    </row>
    <row r="215" spans="1:21">
      <c r="A215" s="71" t="s">
        <v>678</v>
      </c>
      <c r="B215" s="71"/>
      <c r="C215" s="71"/>
      <c r="D215" s="71"/>
      <c r="E215" s="71"/>
      <c r="F215" s="71"/>
      <c r="G215" s="71"/>
      <c r="Q215" s="71" t="s">
        <v>420</v>
      </c>
      <c r="R215" s="22" t="s">
        <v>167</v>
      </c>
      <c r="S215" s="71" t="s">
        <v>241</v>
      </c>
      <c r="T215" s="115">
        <v>0</v>
      </c>
      <c r="U215" s="71" t="s">
        <v>676</v>
      </c>
    </row>
    <row r="216" spans="1:21">
      <c r="A216" s="71" t="s">
        <v>516</v>
      </c>
      <c r="B216" s="71" t="s">
        <v>502</v>
      </c>
      <c r="C216" s="71" t="s">
        <v>505</v>
      </c>
      <c r="D216" s="71" t="s">
        <v>245</v>
      </c>
      <c r="E216" s="71" t="s">
        <v>517</v>
      </c>
      <c r="F216" s="71"/>
      <c r="G216" s="71"/>
      <c r="Q216" s="71" t="s">
        <v>420</v>
      </c>
      <c r="R216" s="22" t="s">
        <v>167</v>
      </c>
      <c r="S216" s="71" t="s">
        <v>241</v>
      </c>
      <c r="T216" s="115">
        <v>11000</v>
      </c>
      <c r="U216" s="71" t="s">
        <v>676</v>
      </c>
    </row>
    <row r="217" spans="1:21" ht="15.5">
      <c r="A217" s="82" t="s">
        <v>653</v>
      </c>
      <c r="B217" s="72"/>
      <c r="C217" s="72" t="s">
        <v>679</v>
      </c>
      <c r="D217" s="71"/>
      <c r="E217" s="71"/>
      <c r="F217" s="71"/>
      <c r="G217" s="71"/>
      <c r="Q217" s="71" t="s">
        <v>420</v>
      </c>
      <c r="R217" s="22" t="s">
        <v>167</v>
      </c>
      <c r="S217" s="71" t="s">
        <v>233</v>
      </c>
      <c r="T217" s="115">
        <v>250000</v>
      </c>
      <c r="U217" s="71" t="s">
        <v>676</v>
      </c>
    </row>
    <row r="218" spans="1:21" ht="15.5">
      <c r="A218" s="82" t="s">
        <v>618</v>
      </c>
      <c r="B218" s="72" t="s">
        <v>680</v>
      </c>
      <c r="C218" s="72"/>
      <c r="D218" s="71"/>
      <c r="E218" s="71"/>
      <c r="F218" s="71"/>
      <c r="G218" s="71"/>
      <c r="Q218" s="71" t="s">
        <v>420</v>
      </c>
      <c r="R218" s="22" t="s">
        <v>167</v>
      </c>
      <c r="S218" s="71" t="s">
        <v>233</v>
      </c>
      <c r="T218" s="115">
        <v>72000</v>
      </c>
      <c r="U218" s="71" t="s">
        <v>676</v>
      </c>
    </row>
    <row r="219" spans="1:21" ht="15.5">
      <c r="A219" s="82" t="s">
        <v>627</v>
      </c>
      <c r="B219" s="72" t="s">
        <v>681</v>
      </c>
      <c r="C219" s="72"/>
      <c r="D219" s="71"/>
      <c r="E219" s="71"/>
      <c r="F219" s="71"/>
      <c r="G219" s="71"/>
      <c r="Q219" s="71" t="s">
        <v>420</v>
      </c>
      <c r="R219" s="22" t="s">
        <v>167</v>
      </c>
      <c r="S219" s="71" t="s">
        <v>240</v>
      </c>
      <c r="T219" s="115">
        <v>3200</v>
      </c>
      <c r="U219" s="71" t="s">
        <v>676</v>
      </c>
    </row>
    <row r="220" spans="1:21" ht="15.5">
      <c r="A220" s="82" t="s">
        <v>632</v>
      </c>
      <c r="B220" s="72" t="s">
        <v>682</v>
      </c>
      <c r="C220" s="72"/>
      <c r="D220" s="71"/>
      <c r="E220" s="71"/>
      <c r="F220" s="71"/>
      <c r="G220" s="71"/>
      <c r="Q220" s="71" t="s">
        <v>420</v>
      </c>
      <c r="R220" s="22" t="s">
        <v>167</v>
      </c>
      <c r="S220" s="71" t="s">
        <v>240</v>
      </c>
      <c r="T220" s="115">
        <v>1400</v>
      </c>
      <c r="U220" s="71" t="s">
        <v>676</v>
      </c>
    </row>
    <row r="221" spans="1:21" ht="15.5">
      <c r="A221" s="82" t="s">
        <v>661</v>
      </c>
      <c r="B221" s="72"/>
      <c r="C221" s="72" t="s">
        <v>683</v>
      </c>
      <c r="D221" s="71"/>
      <c r="E221" s="71"/>
      <c r="F221" s="71"/>
      <c r="G221" s="71"/>
      <c r="Q221" s="71" t="s">
        <v>420</v>
      </c>
      <c r="R221" s="22" t="s">
        <v>167</v>
      </c>
      <c r="S221" s="71" t="s">
        <v>246</v>
      </c>
      <c r="T221" s="115">
        <v>130000</v>
      </c>
      <c r="U221" s="71" t="s">
        <v>676</v>
      </c>
    </row>
    <row r="222" spans="1:21">
      <c r="A222" s="71" t="s">
        <v>684</v>
      </c>
      <c r="B222" s="71"/>
      <c r="C222" s="71"/>
      <c r="D222" s="72" t="s">
        <v>685</v>
      </c>
      <c r="E222" s="71"/>
      <c r="F222" s="71"/>
      <c r="G222" s="71"/>
      <c r="Q222" s="71" t="s">
        <v>420</v>
      </c>
      <c r="R222" s="22" t="s">
        <v>167</v>
      </c>
      <c r="S222" s="71" t="s">
        <v>246</v>
      </c>
      <c r="T222" s="115">
        <v>110000</v>
      </c>
      <c r="U222" s="71" t="s">
        <v>676</v>
      </c>
    </row>
    <row r="223" spans="1:21">
      <c r="A223" s="71"/>
      <c r="B223" s="71"/>
      <c r="C223" s="71"/>
      <c r="D223" s="71"/>
      <c r="E223" s="71"/>
      <c r="F223" s="71"/>
      <c r="G223" s="71"/>
      <c r="Q223" s="71" t="s">
        <v>420</v>
      </c>
      <c r="R223" s="22" t="s">
        <v>167</v>
      </c>
      <c r="S223" s="71" t="s">
        <v>249</v>
      </c>
      <c r="T223" s="115">
        <v>2000</v>
      </c>
      <c r="U223" s="71" t="s">
        <v>676</v>
      </c>
    </row>
    <row r="224" spans="1:21">
      <c r="A224" s="71"/>
      <c r="B224" s="71"/>
      <c r="C224" s="71"/>
      <c r="D224" s="71"/>
      <c r="E224" s="71"/>
      <c r="F224" s="71"/>
      <c r="G224" s="71"/>
      <c r="Q224" s="71" t="s">
        <v>420</v>
      </c>
      <c r="R224" s="22" t="s">
        <v>167</v>
      </c>
      <c r="S224" s="71" t="s">
        <v>249</v>
      </c>
      <c r="T224" s="115">
        <v>5700</v>
      </c>
      <c r="U224" s="71" t="s">
        <v>676</v>
      </c>
    </row>
    <row r="225" spans="1:21" ht="15.5">
      <c r="A225" s="74" t="s">
        <v>576</v>
      </c>
      <c r="B225" s="74"/>
      <c r="C225" s="74"/>
      <c r="D225" s="74"/>
      <c r="E225" s="74"/>
      <c r="F225" s="74"/>
      <c r="G225" s="74"/>
      <c r="Q225" s="71" t="s">
        <v>420</v>
      </c>
      <c r="R225" s="22" t="s">
        <v>167</v>
      </c>
      <c r="S225" s="71" t="s">
        <v>686</v>
      </c>
      <c r="T225" s="115">
        <v>940</v>
      </c>
      <c r="U225" s="71" t="s">
        <v>676</v>
      </c>
    </row>
    <row r="226" spans="1:21" ht="15.5">
      <c r="A226" s="74" t="s">
        <v>687</v>
      </c>
      <c r="B226" s="74"/>
      <c r="C226" s="74"/>
      <c r="D226" s="74"/>
      <c r="E226" s="74"/>
      <c r="F226" s="74"/>
      <c r="G226" s="74"/>
      <c r="Q226" s="71" t="s">
        <v>420</v>
      </c>
      <c r="R226" s="22" t="s">
        <v>167</v>
      </c>
      <c r="S226" s="71" t="s">
        <v>686</v>
      </c>
      <c r="T226" s="115">
        <v>1900</v>
      </c>
      <c r="U226" s="71" t="s">
        <v>676</v>
      </c>
    </row>
    <row r="227" spans="1:21">
      <c r="A227" s="69" t="s">
        <v>688</v>
      </c>
      <c r="B227" s="71"/>
      <c r="C227" s="71"/>
      <c r="D227" s="71"/>
      <c r="E227" s="71"/>
      <c r="F227" s="71"/>
      <c r="G227" s="71"/>
      <c r="Q227" s="71" t="s">
        <v>420</v>
      </c>
      <c r="R227" s="22" t="s">
        <v>167</v>
      </c>
      <c r="S227" s="71" t="s">
        <v>239</v>
      </c>
      <c r="T227" s="115">
        <v>240000</v>
      </c>
      <c r="U227" s="71" t="s">
        <v>676</v>
      </c>
    </row>
    <row r="228" spans="1:21">
      <c r="A228" s="71" t="s">
        <v>689</v>
      </c>
      <c r="B228" s="71"/>
      <c r="C228" s="71"/>
      <c r="D228" s="71"/>
      <c r="E228" s="71"/>
      <c r="F228" s="71"/>
      <c r="G228" s="71"/>
      <c r="Q228" s="71" t="s">
        <v>420</v>
      </c>
      <c r="R228" s="22" t="s">
        <v>167</v>
      </c>
      <c r="S228" s="71" t="s">
        <v>239</v>
      </c>
      <c r="T228" s="115">
        <v>400000</v>
      </c>
      <c r="U228" s="71" t="s">
        <v>676</v>
      </c>
    </row>
    <row r="229" spans="1:21">
      <c r="A229" s="71"/>
      <c r="B229" s="71" t="s">
        <v>690</v>
      </c>
      <c r="C229" s="71" t="s">
        <v>691</v>
      </c>
      <c r="D229" s="71" t="s">
        <v>517</v>
      </c>
      <c r="E229" s="71"/>
      <c r="F229" s="71"/>
      <c r="G229" s="71"/>
      <c r="Q229" s="71" t="s">
        <v>692</v>
      </c>
      <c r="R229" s="22" t="s">
        <v>179</v>
      </c>
      <c r="S229" s="71" t="s">
        <v>241</v>
      </c>
      <c r="T229" s="115">
        <v>624</v>
      </c>
      <c r="U229" s="71" t="s">
        <v>693</v>
      </c>
    </row>
    <row r="230" spans="1:21">
      <c r="A230" s="71" t="s">
        <v>649</v>
      </c>
      <c r="B230" s="72">
        <v>38500</v>
      </c>
      <c r="C230" s="72">
        <v>31300</v>
      </c>
      <c r="D230" s="71" t="s">
        <v>694</v>
      </c>
      <c r="E230" s="71"/>
      <c r="F230" s="71"/>
      <c r="G230" s="71"/>
      <c r="Q230" s="71" t="s">
        <v>692</v>
      </c>
      <c r="R230" s="22" t="s">
        <v>179</v>
      </c>
      <c r="S230" s="71" t="s">
        <v>241</v>
      </c>
      <c r="T230" s="115">
        <v>419</v>
      </c>
      <c r="U230" s="71" t="s">
        <v>695</v>
      </c>
    </row>
    <row r="231" spans="1:21">
      <c r="A231" s="71"/>
      <c r="B231" s="71"/>
      <c r="C231" s="71"/>
      <c r="D231" s="71"/>
      <c r="E231" s="71"/>
      <c r="F231" s="71"/>
      <c r="G231" s="71"/>
      <c r="Q231" s="71" t="s">
        <v>692</v>
      </c>
      <c r="R231" s="22" t="s">
        <v>179</v>
      </c>
      <c r="S231" s="71" t="s">
        <v>241</v>
      </c>
      <c r="T231" s="115">
        <v>255</v>
      </c>
      <c r="U231" s="71" t="s">
        <v>696</v>
      </c>
    </row>
    <row r="232" spans="1:21" ht="15.5">
      <c r="A232" s="74" t="s">
        <v>600</v>
      </c>
      <c r="B232" s="74"/>
      <c r="C232" s="74"/>
      <c r="D232" s="74"/>
      <c r="E232" s="74"/>
      <c r="F232" s="74"/>
      <c r="G232" s="74"/>
      <c r="Q232" s="71" t="s">
        <v>692</v>
      </c>
      <c r="R232" s="22" t="s">
        <v>179</v>
      </c>
      <c r="S232" s="71" t="s">
        <v>241</v>
      </c>
      <c r="T232" s="115">
        <v>281</v>
      </c>
      <c r="U232" s="71" t="s">
        <v>697</v>
      </c>
    </row>
    <row r="233" spans="1:21" ht="15.5">
      <c r="A233" s="80" t="s">
        <v>601</v>
      </c>
      <c r="B233" s="74"/>
      <c r="C233" s="74"/>
      <c r="D233" s="74"/>
      <c r="E233" s="74"/>
      <c r="F233" s="74"/>
      <c r="G233" s="74"/>
      <c r="Q233" s="71" t="s">
        <v>692</v>
      </c>
      <c r="R233" s="22" t="s">
        <v>179</v>
      </c>
      <c r="S233" s="71" t="s">
        <v>233</v>
      </c>
      <c r="T233" s="115">
        <v>18389</v>
      </c>
      <c r="U233" s="71" t="s">
        <v>693</v>
      </c>
    </row>
    <row r="234" spans="1:21">
      <c r="A234" s="71" t="s">
        <v>602</v>
      </c>
      <c r="B234" s="71"/>
      <c r="C234" s="71"/>
      <c r="D234" s="71"/>
      <c r="E234" s="71"/>
      <c r="F234" s="71"/>
      <c r="G234" s="71"/>
      <c r="Q234" s="71" t="s">
        <v>692</v>
      </c>
      <c r="R234" s="22" t="s">
        <v>179</v>
      </c>
      <c r="S234" s="71" t="s">
        <v>233</v>
      </c>
      <c r="T234" s="115">
        <v>28531</v>
      </c>
      <c r="U234" s="71" t="s">
        <v>693</v>
      </c>
    </row>
    <row r="235" spans="1:21">
      <c r="A235" s="71" t="s">
        <v>603</v>
      </c>
      <c r="B235" s="71"/>
      <c r="C235" s="71"/>
      <c r="D235" s="71"/>
      <c r="E235" s="71"/>
      <c r="F235" s="71"/>
      <c r="G235" s="71"/>
      <c r="Q235" s="71" t="s">
        <v>692</v>
      </c>
      <c r="R235" s="22" t="s">
        <v>179</v>
      </c>
      <c r="S235" s="71" t="s">
        <v>233</v>
      </c>
      <c r="T235" s="115">
        <v>16372</v>
      </c>
      <c r="U235" s="71" t="s">
        <v>695</v>
      </c>
    </row>
    <row r="236" spans="1:21">
      <c r="A236" s="71" t="s">
        <v>604</v>
      </c>
      <c r="B236" s="71"/>
      <c r="C236" s="71"/>
      <c r="D236" s="71"/>
      <c r="E236" s="71"/>
      <c r="F236" s="71"/>
      <c r="G236" s="71"/>
      <c r="Q236" s="71" t="s">
        <v>692</v>
      </c>
      <c r="R236" s="22" t="s">
        <v>179</v>
      </c>
      <c r="S236" s="71" t="s">
        <v>233</v>
      </c>
      <c r="T236" s="115">
        <v>25401</v>
      </c>
      <c r="U236" s="71" t="s">
        <v>695</v>
      </c>
    </row>
    <row r="237" spans="1:21">
      <c r="A237" s="71"/>
      <c r="B237" s="71" t="s">
        <v>698</v>
      </c>
      <c r="C237" s="71" t="s">
        <v>517</v>
      </c>
      <c r="D237" s="71"/>
      <c r="E237" s="71"/>
      <c r="F237" s="71"/>
      <c r="G237" s="71"/>
      <c r="Q237" s="71" t="s">
        <v>692</v>
      </c>
      <c r="R237" s="22" t="s">
        <v>179</v>
      </c>
      <c r="S237" s="71" t="s">
        <v>233</v>
      </c>
      <c r="T237" s="115">
        <v>7658</v>
      </c>
      <c r="U237" s="71" t="s">
        <v>696</v>
      </c>
    </row>
    <row r="238" spans="1:21">
      <c r="A238" s="71" t="s">
        <v>415</v>
      </c>
      <c r="B238" s="72">
        <v>7000</v>
      </c>
      <c r="C238" s="71"/>
      <c r="D238" s="71"/>
      <c r="E238" s="71"/>
      <c r="F238" s="71"/>
      <c r="G238" s="71"/>
      <c r="Q238" s="71" t="s">
        <v>692</v>
      </c>
      <c r="R238" s="22" t="s">
        <v>179</v>
      </c>
      <c r="S238" s="71" t="s">
        <v>233</v>
      </c>
      <c r="T238" s="115">
        <v>11881</v>
      </c>
      <c r="U238" s="71" t="s">
        <v>696</v>
      </c>
    </row>
    <row r="239" spans="1:21">
      <c r="A239" s="71"/>
      <c r="B239" s="71"/>
      <c r="C239" s="71"/>
      <c r="D239" s="71"/>
      <c r="E239" s="71"/>
      <c r="F239" s="71"/>
      <c r="G239" s="71"/>
      <c r="Q239" s="71" t="s">
        <v>692</v>
      </c>
      <c r="R239" s="22" t="s">
        <v>179</v>
      </c>
      <c r="S239" s="71" t="s">
        <v>233</v>
      </c>
      <c r="T239" s="115">
        <v>4668</v>
      </c>
      <c r="U239" s="71" t="s">
        <v>697</v>
      </c>
    </row>
    <row r="240" spans="1:21" ht="15.5">
      <c r="A240" s="74" t="s">
        <v>615</v>
      </c>
      <c r="B240" s="74"/>
      <c r="C240" s="74"/>
      <c r="D240" s="74"/>
      <c r="E240" s="74"/>
      <c r="F240" s="74"/>
      <c r="G240" s="74"/>
      <c r="Q240" s="71" t="s">
        <v>692</v>
      </c>
      <c r="R240" s="22" t="s">
        <v>179</v>
      </c>
      <c r="S240" s="71" t="s">
        <v>233</v>
      </c>
      <c r="T240" s="115">
        <v>6749</v>
      </c>
      <c r="U240" s="71" t="s">
        <v>697</v>
      </c>
    </row>
    <row r="241" spans="1:21" ht="15.5">
      <c r="A241" s="74" t="s">
        <v>616</v>
      </c>
      <c r="B241" s="74"/>
      <c r="C241" s="74"/>
      <c r="D241" s="74"/>
      <c r="E241" s="74"/>
      <c r="F241" s="74"/>
      <c r="G241" s="74"/>
      <c r="Q241" s="71" t="s">
        <v>692</v>
      </c>
      <c r="R241" s="22" t="s">
        <v>179</v>
      </c>
      <c r="S241" s="71" t="s">
        <v>233</v>
      </c>
      <c r="T241" s="115">
        <v>11315</v>
      </c>
      <c r="U241" s="71" t="s">
        <v>697</v>
      </c>
    </row>
    <row r="242" spans="1:21">
      <c r="A242" s="69" t="s">
        <v>617</v>
      </c>
      <c r="B242" s="71"/>
      <c r="C242" s="71"/>
      <c r="D242" s="71"/>
      <c r="E242" s="71"/>
      <c r="F242" s="71"/>
      <c r="G242" s="71"/>
      <c r="Q242" s="71" t="s">
        <v>692</v>
      </c>
      <c r="R242" s="22" t="s">
        <v>179</v>
      </c>
      <c r="S242" s="71" t="s">
        <v>233</v>
      </c>
      <c r="T242" s="115">
        <v>16361</v>
      </c>
      <c r="U242" s="71" t="s">
        <v>697</v>
      </c>
    </row>
    <row r="243" spans="1:21">
      <c r="A243" s="71" t="s">
        <v>620</v>
      </c>
      <c r="B243" s="71"/>
      <c r="C243" s="71"/>
      <c r="D243" s="71"/>
      <c r="E243" s="71"/>
      <c r="F243" s="71"/>
      <c r="G243" s="71"/>
      <c r="Q243" s="71" t="s">
        <v>692</v>
      </c>
      <c r="R243" s="22" t="s">
        <v>179</v>
      </c>
      <c r="S243" s="71" t="s">
        <v>233</v>
      </c>
      <c r="T243" s="115">
        <v>10572</v>
      </c>
      <c r="U243" s="71" t="s">
        <v>699</v>
      </c>
    </row>
    <row r="244" spans="1:21">
      <c r="A244" s="71"/>
      <c r="B244" s="71"/>
      <c r="C244" s="71"/>
      <c r="D244" s="71"/>
      <c r="E244" s="71"/>
      <c r="F244" s="71"/>
      <c r="G244" s="71"/>
      <c r="Q244" s="71" t="s">
        <v>692</v>
      </c>
      <c r="R244" s="22" t="s">
        <v>179</v>
      </c>
      <c r="S244" s="71" t="s">
        <v>233</v>
      </c>
      <c r="T244" s="115">
        <v>16403</v>
      </c>
      <c r="U244" s="71" t="s">
        <v>699</v>
      </c>
    </row>
    <row r="245" spans="1:21">
      <c r="A245" s="71"/>
      <c r="B245" s="71" t="s">
        <v>700</v>
      </c>
      <c r="C245" s="71" t="s">
        <v>701</v>
      </c>
      <c r="D245" s="71" t="s">
        <v>702</v>
      </c>
      <c r="E245" s="71" t="s">
        <v>703</v>
      </c>
      <c r="F245" s="71" t="s">
        <v>704</v>
      </c>
      <c r="G245" s="71" t="s">
        <v>517</v>
      </c>
      <c r="Q245" s="71" t="s">
        <v>692</v>
      </c>
      <c r="R245" s="22" t="s">
        <v>179</v>
      </c>
      <c r="S245" s="71" t="s">
        <v>240</v>
      </c>
      <c r="T245" s="115">
        <v>454</v>
      </c>
      <c r="U245" s="71" t="s">
        <v>696</v>
      </c>
    </row>
    <row r="246" spans="1:21">
      <c r="A246" s="140" t="s">
        <v>248</v>
      </c>
      <c r="B246" s="139">
        <v>59</v>
      </c>
      <c r="C246" s="139">
        <v>68</v>
      </c>
      <c r="D246" s="139"/>
      <c r="E246" s="139"/>
      <c r="F246" s="139"/>
      <c r="G246" s="71" t="s">
        <v>623</v>
      </c>
      <c r="Q246" s="71" t="s">
        <v>692</v>
      </c>
      <c r="R246" s="22" t="s">
        <v>179</v>
      </c>
      <c r="S246" s="71" t="s">
        <v>240</v>
      </c>
      <c r="T246" s="115">
        <v>500</v>
      </c>
      <c r="U246" s="71" t="s">
        <v>697</v>
      </c>
    </row>
    <row r="247" spans="1:21">
      <c r="A247" s="140"/>
      <c r="B247" s="139"/>
      <c r="C247" s="139"/>
      <c r="D247" s="139"/>
      <c r="E247" s="139"/>
      <c r="F247" s="139"/>
      <c r="G247" s="71" t="s">
        <v>624</v>
      </c>
      <c r="Q247" s="71" t="s">
        <v>692</v>
      </c>
      <c r="R247" s="22" t="s">
        <v>179</v>
      </c>
      <c r="S247" s="71" t="s">
        <v>240</v>
      </c>
      <c r="T247" s="115">
        <v>538</v>
      </c>
      <c r="U247" s="71" t="s">
        <v>697</v>
      </c>
    </row>
    <row r="248" spans="1:21" ht="15.5">
      <c r="A248" s="82" t="s">
        <v>653</v>
      </c>
      <c r="B248" s="73"/>
      <c r="C248" s="73"/>
      <c r="D248" s="73">
        <v>7</v>
      </c>
      <c r="E248" s="73">
        <v>265</v>
      </c>
      <c r="F248" s="73">
        <v>242</v>
      </c>
      <c r="G248" s="71" t="s">
        <v>705</v>
      </c>
      <c r="Q248" s="71" t="s">
        <v>692</v>
      </c>
      <c r="R248" s="22" t="s">
        <v>179</v>
      </c>
      <c r="S248" s="71" t="s">
        <v>240</v>
      </c>
      <c r="T248" s="115">
        <v>471</v>
      </c>
      <c r="U248" s="71" t="s">
        <v>699</v>
      </c>
    </row>
    <row r="249" spans="1:21" ht="15.5">
      <c r="A249" s="75" t="s">
        <v>706</v>
      </c>
      <c r="B249" s="73"/>
      <c r="C249" s="73"/>
      <c r="D249" s="73">
        <v>4000</v>
      </c>
      <c r="E249" s="73"/>
      <c r="F249" s="73">
        <v>1000</v>
      </c>
      <c r="G249" s="71" t="s">
        <v>707</v>
      </c>
      <c r="Q249" s="71" t="s">
        <v>692</v>
      </c>
      <c r="R249" s="22" t="s">
        <v>179</v>
      </c>
      <c r="S249" s="71" t="s">
        <v>249</v>
      </c>
      <c r="T249" s="115">
        <v>112</v>
      </c>
      <c r="U249" s="71" t="s">
        <v>696</v>
      </c>
    </row>
    <row r="250" spans="1:21" ht="15.5">
      <c r="A250" s="82" t="s">
        <v>415</v>
      </c>
      <c r="B250" s="73">
        <v>825</v>
      </c>
      <c r="C250" s="73">
        <v>943</v>
      </c>
      <c r="D250" s="73">
        <v>1005</v>
      </c>
      <c r="E250" s="73">
        <v>450</v>
      </c>
      <c r="F250" s="73">
        <v>5181</v>
      </c>
      <c r="G250" s="71"/>
      <c r="Q250" s="71" t="s">
        <v>692</v>
      </c>
      <c r="R250" s="22" t="s">
        <v>179</v>
      </c>
      <c r="S250" s="71" t="s">
        <v>249</v>
      </c>
      <c r="T250" s="115">
        <v>124</v>
      </c>
      <c r="U250" s="71" t="s">
        <v>697</v>
      </c>
    </row>
    <row r="251" spans="1:21" ht="15.5">
      <c r="A251" s="82" t="s">
        <v>520</v>
      </c>
      <c r="B251" s="73"/>
      <c r="C251" s="73"/>
      <c r="D251" s="73"/>
      <c r="E251" s="73"/>
      <c r="F251" s="73"/>
      <c r="G251" s="71"/>
      <c r="Q251" s="71" t="s">
        <v>692</v>
      </c>
      <c r="R251" s="22" t="s">
        <v>179</v>
      </c>
      <c r="S251" s="71" t="s">
        <v>249</v>
      </c>
      <c r="T251" s="115">
        <v>199</v>
      </c>
      <c r="U251" s="71" t="s">
        <v>699</v>
      </c>
    </row>
    <row r="252" spans="1:21" ht="15.5">
      <c r="A252" s="82" t="s">
        <v>618</v>
      </c>
      <c r="B252" s="73"/>
      <c r="C252" s="73"/>
      <c r="D252" s="73"/>
      <c r="E252" s="73">
        <v>124</v>
      </c>
      <c r="F252" s="73"/>
      <c r="G252" s="71"/>
      <c r="Q252" s="71" t="s">
        <v>692</v>
      </c>
      <c r="R252" s="22" t="s">
        <v>179</v>
      </c>
      <c r="S252" s="71" t="s">
        <v>250</v>
      </c>
      <c r="T252" s="115">
        <v>10</v>
      </c>
      <c r="U252" s="71" t="s">
        <v>696</v>
      </c>
    </row>
    <row r="253" spans="1:21" ht="15.5">
      <c r="A253" s="82" t="s">
        <v>627</v>
      </c>
      <c r="B253" s="73"/>
      <c r="C253" s="73"/>
      <c r="D253" s="73">
        <v>13</v>
      </c>
      <c r="E253" s="73">
        <v>55</v>
      </c>
      <c r="F253" s="73"/>
      <c r="G253" s="71"/>
      <c r="Q253" s="71" t="s">
        <v>692</v>
      </c>
      <c r="R253" s="22" t="s">
        <v>179</v>
      </c>
      <c r="S253" s="71" t="s">
        <v>250</v>
      </c>
      <c r="T253" s="115">
        <v>11</v>
      </c>
      <c r="U253" s="71" t="s">
        <v>697</v>
      </c>
    </row>
    <row r="254" spans="1:21" ht="15.5">
      <c r="A254" s="75" t="s">
        <v>708</v>
      </c>
      <c r="B254" s="73"/>
      <c r="C254" s="73"/>
      <c r="D254" s="73">
        <v>11</v>
      </c>
      <c r="E254" s="73">
        <v>109</v>
      </c>
      <c r="F254" s="73">
        <v>1</v>
      </c>
      <c r="G254" s="71"/>
      <c r="Q254" s="71" t="s">
        <v>692</v>
      </c>
      <c r="R254" s="22" t="s">
        <v>179</v>
      </c>
      <c r="S254" s="71" t="s">
        <v>250</v>
      </c>
      <c r="T254" s="115">
        <v>8</v>
      </c>
      <c r="U254" s="71" t="s">
        <v>699</v>
      </c>
    </row>
    <row r="255" spans="1:21" ht="15.5">
      <c r="A255" s="82" t="s">
        <v>416</v>
      </c>
      <c r="B255" s="73"/>
      <c r="C255" s="73"/>
      <c r="D255" s="73"/>
      <c r="E255" s="73"/>
      <c r="F255" s="73"/>
      <c r="G255" s="71"/>
      <c r="Q255" s="71" t="s">
        <v>692</v>
      </c>
      <c r="R255" s="22" t="s">
        <v>179</v>
      </c>
      <c r="S255" s="71" t="s">
        <v>239</v>
      </c>
      <c r="T255" s="115">
        <v>62200</v>
      </c>
      <c r="U255" s="71" t="s">
        <v>693</v>
      </c>
    </row>
    <row r="256" spans="1:21" ht="15.5">
      <c r="A256" s="82" t="s">
        <v>250</v>
      </c>
      <c r="B256" s="73">
        <v>1</v>
      </c>
      <c r="C256" s="73">
        <v>1</v>
      </c>
      <c r="D256" s="73">
        <v>334</v>
      </c>
      <c r="E256" s="73"/>
      <c r="F256" s="73">
        <v>16</v>
      </c>
      <c r="G256" s="71"/>
      <c r="Q256" s="71" t="s">
        <v>692</v>
      </c>
      <c r="R256" s="22" t="s">
        <v>179</v>
      </c>
      <c r="S256" s="71" t="s">
        <v>239</v>
      </c>
      <c r="T256" s="115">
        <v>51340</v>
      </c>
      <c r="U256" s="71" t="s">
        <v>695</v>
      </c>
    </row>
    <row r="257" spans="1:21" ht="15.5">
      <c r="A257" s="82" t="s">
        <v>632</v>
      </c>
      <c r="B257" s="73"/>
      <c r="C257" s="73"/>
      <c r="D257" s="73"/>
      <c r="E257" s="73">
        <v>11</v>
      </c>
      <c r="F257" s="73"/>
      <c r="G257" s="71"/>
      <c r="Q257" s="71" t="s">
        <v>692</v>
      </c>
      <c r="R257" s="22" t="s">
        <v>179</v>
      </c>
      <c r="S257" s="71" t="s">
        <v>239</v>
      </c>
      <c r="T257" s="115">
        <v>44425</v>
      </c>
      <c r="U257" s="71" t="s">
        <v>697</v>
      </c>
    </row>
    <row r="258" spans="1:21" ht="15.5">
      <c r="A258" s="82" t="s">
        <v>661</v>
      </c>
      <c r="B258" s="73"/>
      <c r="C258" s="73"/>
      <c r="D258" s="73">
        <v>8</v>
      </c>
      <c r="E258" s="73"/>
      <c r="F258" s="73">
        <v>243</v>
      </c>
      <c r="G258" s="71"/>
      <c r="Q258" s="71" t="s">
        <v>709</v>
      </c>
      <c r="R258" s="22" t="s">
        <v>254</v>
      </c>
      <c r="S258" s="71" t="s">
        <v>241</v>
      </c>
      <c r="T258" s="115">
        <v>1300</v>
      </c>
      <c r="U258" s="71" t="s">
        <v>710</v>
      </c>
    </row>
    <row r="259" spans="1:21">
      <c r="A259" s="71"/>
      <c r="B259" s="71"/>
      <c r="C259" s="71"/>
      <c r="D259" s="71"/>
      <c r="E259" s="71"/>
      <c r="F259" s="71"/>
      <c r="G259" s="71"/>
      <c r="Q259" s="71" t="s">
        <v>709</v>
      </c>
      <c r="R259" s="22" t="s">
        <v>254</v>
      </c>
      <c r="S259" s="71" t="s">
        <v>233</v>
      </c>
      <c r="T259" s="115">
        <v>16397</v>
      </c>
      <c r="U259" s="71" t="s">
        <v>710</v>
      </c>
    </row>
    <row r="260" spans="1:21">
      <c r="A260" s="71"/>
      <c r="B260" s="71"/>
      <c r="C260" s="71"/>
      <c r="D260" s="71"/>
      <c r="E260" s="71"/>
      <c r="F260" s="71"/>
      <c r="G260" s="71"/>
      <c r="Q260" s="71" t="s">
        <v>709</v>
      </c>
      <c r="R260" s="22" t="s">
        <v>254</v>
      </c>
      <c r="S260" s="71" t="s">
        <v>233</v>
      </c>
      <c r="T260" s="115">
        <v>25440</v>
      </c>
      <c r="U260" s="71" t="s">
        <v>710</v>
      </c>
    </row>
    <row r="261" spans="1:21" ht="15.5">
      <c r="A261" s="74" t="s">
        <v>676</v>
      </c>
      <c r="B261" s="74"/>
      <c r="C261" s="74"/>
      <c r="D261" s="74"/>
      <c r="E261" s="74"/>
      <c r="F261" s="74"/>
      <c r="G261" s="74"/>
      <c r="Q261" s="71" t="s">
        <v>709</v>
      </c>
      <c r="R261" s="22" t="s">
        <v>254</v>
      </c>
      <c r="S261" s="71" t="s">
        <v>240</v>
      </c>
      <c r="T261" s="115">
        <v>454</v>
      </c>
      <c r="U261" s="71" t="s">
        <v>696</v>
      </c>
    </row>
    <row r="262" spans="1:21" ht="15.5">
      <c r="A262" s="74" t="s">
        <v>711</v>
      </c>
      <c r="B262" s="74"/>
      <c r="C262" s="74"/>
      <c r="D262" s="74"/>
      <c r="E262" s="74"/>
      <c r="F262" s="74"/>
      <c r="G262" s="74"/>
      <c r="Q262" s="71" t="s">
        <v>709</v>
      </c>
      <c r="R262" s="22" t="s">
        <v>254</v>
      </c>
      <c r="S262" s="71" t="s">
        <v>240</v>
      </c>
      <c r="T262" s="115">
        <v>500</v>
      </c>
      <c r="U262" s="71" t="s">
        <v>697</v>
      </c>
    </row>
    <row r="263" spans="1:21">
      <c r="A263" s="69" t="s">
        <v>712</v>
      </c>
      <c r="B263" s="71"/>
      <c r="C263" s="71"/>
      <c r="D263" s="71"/>
      <c r="E263" s="71"/>
      <c r="F263" s="71"/>
      <c r="G263" s="71"/>
      <c r="Q263" s="71" t="s">
        <v>709</v>
      </c>
      <c r="R263" s="22" t="s">
        <v>254</v>
      </c>
      <c r="S263" s="71" t="s">
        <v>240</v>
      </c>
      <c r="T263" s="115">
        <v>538</v>
      </c>
      <c r="U263" s="71" t="s">
        <v>697</v>
      </c>
    </row>
    <row r="264" spans="1:21">
      <c r="A264" s="71" t="s">
        <v>713</v>
      </c>
      <c r="B264" s="71"/>
      <c r="C264" s="71"/>
      <c r="D264" s="71"/>
      <c r="E264" s="71"/>
      <c r="F264" s="71"/>
      <c r="G264" s="71"/>
      <c r="Q264" s="71" t="s">
        <v>709</v>
      </c>
      <c r="R264" s="22" t="s">
        <v>254</v>
      </c>
      <c r="S264" s="71" t="s">
        <v>240</v>
      </c>
      <c r="T264" s="115">
        <v>471</v>
      </c>
      <c r="U264" s="71" t="s">
        <v>699</v>
      </c>
    </row>
    <row r="265" spans="1:21">
      <c r="A265" s="71"/>
      <c r="B265" s="71" t="s">
        <v>714</v>
      </c>
      <c r="C265" s="71" t="s">
        <v>715</v>
      </c>
      <c r="D265" s="71" t="s">
        <v>517</v>
      </c>
      <c r="E265" s="71"/>
      <c r="F265" s="71"/>
      <c r="G265" s="71"/>
      <c r="Q265" s="71" t="s">
        <v>709</v>
      </c>
      <c r="R265" s="22" t="s">
        <v>254</v>
      </c>
      <c r="S265" s="71" t="s">
        <v>249</v>
      </c>
      <c r="T265" s="115">
        <v>112</v>
      </c>
      <c r="U265" s="71" t="s">
        <v>696</v>
      </c>
    </row>
    <row r="266" spans="1:21" ht="15.5">
      <c r="A266" s="82" t="s">
        <v>248</v>
      </c>
      <c r="B266" s="72">
        <v>13</v>
      </c>
      <c r="C266" s="72">
        <v>16</v>
      </c>
      <c r="D266" s="71"/>
      <c r="E266" s="71"/>
      <c r="F266" s="71"/>
      <c r="G266" s="71"/>
      <c r="Q266" s="71" t="s">
        <v>709</v>
      </c>
      <c r="R266" s="22" t="s">
        <v>254</v>
      </c>
      <c r="S266" s="71" t="s">
        <v>249</v>
      </c>
      <c r="T266" s="115">
        <v>124</v>
      </c>
      <c r="U266" s="71" t="s">
        <v>697</v>
      </c>
    </row>
    <row r="267" spans="1:21" ht="15.5">
      <c r="A267" s="82" t="s">
        <v>649</v>
      </c>
      <c r="B267" s="72">
        <v>0</v>
      </c>
      <c r="C267" s="72">
        <v>11000</v>
      </c>
      <c r="D267" s="71"/>
      <c r="E267" s="71"/>
      <c r="F267" s="71"/>
      <c r="G267" s="71"/>
      <c r="Q267" s="71" t="s">
        <v>709</v>
      </c>
      <c r="R267" s="22" t="s">
        <v>254</v>
      </c>
      <c r="S267" s="71" t="s">
        <v>249</v>
      </c>
      <c r="T267" s="115">
        <v>199</v>
      </c>
      <c r="U267" s="71" t="s">
        <v>699</v>
      </c>
    </row>
    <row r="268" spans="1:21" ht="15.5">
      <c r="A268" s="75" t="s">
        <v>233</v>
      </c>
      <c r="B268" s="72">
        <v>250000</v>
      </c>
      <c r="C268" s="72">
        <v>72000</v>
      </c>
      <c r="D268" s="71" t="s">
        <v>716</v>
      </c>
      <c r="E268" s="71"/>
      <c r="F268" s="71"/>
      <c r="G268" s="71"/>
      <c r="Q268" s="71" t="s">
        <v>709</v>
      </c>
      <c r="R268" s="22" t="s">
        <v>254</v>
      </c>
      <c r="S268" s="71" t="s">
        <v>250</v>
      </c>
      <c r="T268" s="115">
        <v>10</v>
      </c>
      <c r="U268" s="71" t="s">
        <v>696</v>
      </c>
    </row>
    <row r="269" spans="1:21">
      <c r="A269" s="71" t="s">
        <v>706</v>
      </c>
      <c r="B269" s="73">
        <v>2200</v>
      </c>
      <c r="C269" s="73">
        <v>3700</v>
      </c>
      <c r="D269" s="71"/>
      <c r="E269" s="71"/>
      <c r="F269" s="71"/>
      <c r="G269" s="71"/>
      <c r="Q269" s="71" t="s">
        <v>709</v>
      </c>
      <c r="R269" s="22" t="s">
        <v>254</v>
      </c>
      <c r="S269" s="71" t="s">
        <v>250</v>
      </c>
      <c r="T269" s="115">
        <v>11</v>
      </c>
      <c r="U269" s="71" t="s">
        <v>697</v>
      </c>
    </row>
    <row r="270" spans="1:21" ht="15.5">
      <c r="A270" s="82" t="s">
        <v>415</v>
      </c>
      <c r="B270" s="72">
        <v>3200</v>
      </c>
      <c r="C270" s="72">
        <v>1400</v>
      </c>
      <c r="D270" s="71"/>
      <c r="E270" s="71"/>
      <c r="F270" s="71"/>
      <c r="G270" s="71"/>
      <c r="Q270" s="71" t="s">
        <v>709</v>
      </c>
      <c r="R270" s="22" t="s">
        <v>254</v>
      </c>
      <c r="S270" s="71" t="s">
        <v>250</v>
      </c>
      <c r="T270" s="115">
        <v>8</v>
      </c>
      <c r="U270" s="71" t="s">
        <v>699</v>
      </c>
    </row>
    <row r="271" spans="1:21" ht="15.5">
      <c r="A271" s="75" t="s">
        <v>717</v>
      </c>
      <c r="B271" s="73">
        <v>3000</v>
      </c>
      <c r="C271" s="73">
        <v>2600</v>
      </c>
      <c r="D271" s="71"/>
      <c r="E271" s="71"/>
      <c r="F271" s="71"/>
      <c r="G271" s="71"/>
      <c r="Q271" s="71" t="s">
        <v>709</v>
      </c>
      <c r="R271" s="22" t="s">
        <v>254</v>
      </c>
      <c r="S271" s="71" t="s">
        <v>239</v>
      </c>
      <c r="T271" s="115">
        <v>52000</v>
      </c>
      <c r="U271" s="71" t="s">
        <v>710</v>
      </c>
    </row>
    <row r="272" spans="1:21" ht="15.5">
      <c r="A272" s="82" t="s">
        <v>249</v>
      </c>
      <c r="B272" s="72">
        <v>2000</v>
      </c>
      <c r="C272" s="72">
        <v>5700</v>
      </c>
      <c r="D272" s="71"/>
      <c r="E272" s="71" t="s">
        <v>718</v>
      </c>
      <c r="F272" s="71"/>
      <c r="G272" s="71"/>
      <c r="Q272" s="71" t="s">
        <v>719</v>
      </c>
      <c r="R272" s="22" t="s">
        <v>184</v>
      </c>
      <c r="S272" s="71" t="s">
        <v>241</v>
      </c>
      <c r="T272" s="115">
        <v>230</v>
      </c>
      <c r="U272" s="71" t="s">
        <v>693</v>
      </c>
    </row>
    <row r="273" spans="1:21" ht="15.5">
      <c r="A273" s="75" t="s">
        <v>708</v>
      </c>
      <c r="B273" s="73">
        <v>200</v>
      </c>
      <c r="C273" s="73">
        <v>56</v>
      </c>
      <c r="D273" s="71"/>
      <c r="E273" s="71" t="s">
        <v>714</v>
      </c>
      <c r="F273" s="71" t="s">
        <v>715</v>
      </c>
      <c r="G273" s="71"/>
      <c r="Q273" s="71" t="s">
        <v>719</v>
      </c>
      <c r="R273" s="22" t="s">
        <v>184</v>
      </c>
      <c r="S273" s="71" t="s">
        <v>241</v>
      </c>
      <c r="T273" s="115">
        <v>204</v>
      </c>
      <c r="U273" s="71" t="s">
        <v>720</v>
      </c>
    </row>
    <row r="274" spans="1:21" ht="15.5">
      <c r="A274" s="82" t="s">
        <v>250</v>
      </c>
      <c r="B274" s="72">
        <v>940</v>
      </c>
      <c r="C274" s="72">
        <v>1800</v>
      </c>
      <c r="D274" s="71"/>
      <c r="E274" s="72">
        <v>250000</v>
      </c>
      <c r="F274" s="72">
        <v>72000</v>
      </c>
      <c r="G274" s="71"/>
      <c r="Q274" s="71" t="s">
        <v>719</v>
      </c>
      <c r="R274" s="22" t="s">
        <v>184</v>
      </c>
      <c r="S274" s="71" t="s">
        <v>233</v>
      </c>
      <c r="T274" s="115">
        <v>7350</v>
      </c>
      <c r="U274" s="71" t="s">
        <v>693</v>
      </c>
    </row>
    <row r="275" spans="1:21" ht="15.5">
      <c r="A275" s="82" t="s">
        <v>239</v>
      </c>
      <c r="B275" s="72">
        <v>240000</v>
      </c>
      <c r="C275" s="72">
        <v>400000</v>
      </c>
      <c r="D275" s="71"/>
      <c r="E275" s="71"/>
      <c r="F275" s="71"/>
      <c r="G275" s="71"/>
      <c r="Q275" s="71" t="s">
        <v>719</v>
      </c>
      <c r="R275" s="22" t="s">
        <v>184</v>
      </c>
      <c r="S275" s="71" t="s">
        <v>233</v>
      </c>
      <c r="T275" s="115">
        <v>11403</v>
      </c>
      <c r="U275" s="71" t="s">
        <v>720</v>
      </c>
    </row>
    <row r="276" spans="1:21">
      <c r="A276" s="71" t="s">
        <v>721</v>
      </c>
      <c r="B276" s="73">
        <v>650000</v>
      </c>
      <c r="C276" s="73">
        <v>393000</v>
      </c>
      <c r="D276" s="71"/>
      <c r="E276" s="71"/>
      <c r="F276" s="71"/>
      <c r="G276" s="71"/>
      <c r="Q276" s="71" t="s">
        <v>719</v>
      </c>
      <c r="R276" s="22" t="s">
        <v>184</v>
      </c>
      <c r="S276" s="71" t="s">
        <v>233</v>
      </c>
      <c r="T276" s="115">
        <v>10080</v>
      </c>
      <c r="U276" s="71" t="s">
        <v>693</v>
      </c>
    </row>
    <row r="277" spans="1:21">
      <c r="A277" s="84" t="s">
        <v>246</v>
      </c>
      <c r="B277" s="72">
        <v>130000</v>
      </c>
      <c r="C277" s="72">
        <v>110000</v>
      </c>
      <c r="D277" s="71"/>
      <c r="E277" s="71"/>
      <c r="F277" s="71"/>
      <c r="G277" s="71"/>
      <c r="Q277" s="71" t="s">
        <v>719</v>
      </c>
      <c r="R277" s="22" t="s">
        <v>184</v>
      </c>
      <c r="S277" s="71" t="s">
        <v>233</v>
      </c>
      <c r="T277" s="115">
        <v>15640</v>
      </c>
      <c r="U277" s="71" t="s">
        <v>720</v>
      </c>
    </row>
    <row r="278" spans="1:21">
      <c r="A278" s="84" t="s">
        <v>722</v>
      </c>
      <c r="B278" s="73">
        <v>92000</v>
      </c>
      <c r="C278" s="73">
        <v>81000</v>
      </c>
      <c r="D278" s="71"/>
      <c r="E278" s="71"/>
      <c r="F278" s="71"/>
      <c r="G278" s="71"/>
      <c r="Q278" s="71" t="s">
        <v>719</v>
      </c>
      <c r="R278" s="22" t="s">
        <v>184</v>
      </c>
      <c r="S278" s="71" t="s">
        <v>240</v>
      </c>
      <c r="T278" s="115">
        <v>454</v>
      </c>
      <c r="U278" s="71" t="s">
        <v>696</v>
      </c>
    </row>
    <row r="279" spans="1:21">
      <c r="A279" s="84"/>
      <c r="B279" s="71"/>
      <c r="C279" s="71"/>
      <c r="D279" s="71"/>
      <c r="E279" s="71"/>
      <c r="F279" s="71"/>
      <c r="G279" s="71"/>
      <c r="Q279" s="71" t="s">
        <v>719</v>
      </c>
      <c r="R279" s="22" t="s">
        <v>184</v>
      </c>
      <c r="S279" s="71" t="s">
        <v>240</v>
      </c>
      <c r="T279" s="115">
        <v>500</v>
      </c>
      <c r="U279" s="71" t="s">
        <v>697</v>
      </c>
    </row>
    <row r="280" spans="1:21">
      <c r="A280" s="84"/>
      <c r="B280" s="71" t="s">
        <v>723</v>
      </c>
      <c r="C280" s="71"/>
      <c r="D280" s="71"/>
      <c r="E280" s="71"/>
      <c r="F280" s="71"/>
      <c r="G280" s="71"/>
      <c r="Q280" s="71" t="s">
        <v>719</v>
      </c>
      <c r="R280" s="22" t="s">
        <v>184</v>
      </c>
      <c r="S280" s="71" t="s">
        <v>240</v>
      </c>
      <c r="T280" s="115">
        <v>538</v>
      </c>
      <c r="U280" s="71" t="s">
        <v>697</v>
      </c>
    </row>
    <row r="281" spans="1:21">
      <c r="A281" s="84"/>
      <c r="B281" s="71" t="s">
        <v>714</v>
      </c>
      <c r="C281" s="71" t="s">
        <v>715</v>
      </c>
      <c r="D281" s="71" t="s">
        <v>517</v>
      </c>
      <c r="E281" s="71"/>
      <c r="F281" s="71"/>
      <c r="G281" s="71"/>
      <c r="Q281" s="71" t="s">
        <v>719</v>
      </c>
      <c r="R281" s="22" t="s">
        <v>184</v>
      </c>
      <c r="S281" s="71" t="s">
        <v>240</v>
      </c>
      <c r="T281" s="115">
        <v>471</v>
      </c>
      <c r="U281" s="71" t="s">
        <v>699</v>
      </c>
    </row>
    <row r="282" spans="1:21">
      <c r="A282" s="84"/>
      <c r="B282" s="71">
        <v>2607500</v>
      </c>
      <c r="C282" s="71">
        <v>750960</v>
      </c>
      <c r="D282" s="69" t="s">
        <v>724</v>
      </c>
      <c r="E282" s="71"/>
      <c r="F282" s="71"/>
      <c r="G282" s="71"/>
      <c r="Q282" s="71" t="s">
        <v>719</v>
      </c>
      <c r="R282" s="22" t="s">
        <v>184</v>
      </c>
      <c r="S282" s="71" t="s">
        <v>249</v>
      </c>
      <c r="T282" s="115">
        <v>112</v>
      </c>
      <c r="U282" s="71" t="s">
        <v>696</v>
      </c>
    </row>
    <row r="283" spans="1:21" ht="15.5">
      <c r="A283" s="84"/>
      <c r="B283" s="71"/>
      <c r="C283" s="71"/>
      <c r="D283" s="82" t="s">
        <v>725</v>
      </c>
      <c r="E283" s="71"/>
      <c r="F283" s="71"/>
      <c r="G283" s="71"/>
      <c r="Q283" s="71" t="s">
        <v>719</v>
      </c>
      <c r="R283" s="22" t="s">
        <v>184</v>
      </c>
      <c r="S283" s="71" t="s">
        <v>249</v>
      </c>
      <c r="T283" s="115">
        <v>124</v>
      </c>
      <c r="U283" s="71" t="s">
        <v>697</v>
      </c>
    </row>
    <row r="284" spans="1:21" ht="15.5">
      <c r="A284" s="84"/>
      <c r="B284" s="71"/>
      <c r="C284" s="71"/>
      <c r="D284" s="82" t="s">
        <v>726</v>
      </c>
      <c r="E284" s="71"/>
      <c r="F284" s="71"/>
      <c r="G284" s="71"/>
      <c r="Q284" s="71" t="s">
        <v>719</v>
      </c>
      <c r="R284" s="22" t="s">
        <v>184</v>
      </c>
      <c r="S284" s="71" t="s">
        <v>249</v>
      </c>
      <c r="T284" s="115">
        <v>199</v>
      </c>
      <c r="U284" s="71" t="s">
        <v>699</v>
      </c>
    </row>
    <row r="285" spans="1:21" ht="15.5">
      <c r="A285" s="84"/>
      <c r="B285" s="71"/>
      <c r="C285" s="71"/>
      <c r="D285" s="85" t="s">
        <v>727</v>
      </c>
      <c r="E285" s="71"/>
      <c r="F285" s="71"/>
      <c r="G285" s="71"/>
      <c r="Q285" s="71" t="s">
        <v>719</v>
      </c>
      <c r="R285" s="22" t="s">
        <v>184</v>
      </c>
      <c r="S285" s="71" t="s">
        <v>250</v>
      </c>
      <c r="T285" s="115">
        <v>10</v>
      </c>
      <c r="U285" s="71" t="s">
        <v>696</v>
      </c>
    </row>
    <row r="286" spans="1:21">
      <c r="A286" s="84"/>
      <c r="B286" s="71"/>
      <c r="C286" s="71"/>
      <c r="D286" s="71"/>
      <c r="E286" s="71"/>
      <c r="F286" s="71"/>
      <c r="G286" s="71"/>
      <c r="Q286" s="71" t="s">
        <v>719</v>
      </c>
      <c r="R286" s="22" t="s">
        <v>184</v>
      </c>
      <c r="S286" s="71" t="s">
        <v>250</v>
      </c>
      <c r="T286" s="115">
        <v>11</v>
      </c>
      <c r="U286" s="71" t="s">
        <v>697</v>
      </c>
    </row>
    <row r="287" spans="1:21" ht="15.5">
      <c r="A287" s="74" t="s">
        <v>728</v>
      </c>
      <c r="B287" s="74"/>
      <c r="C287" s="74"/>
      <c r="D287" s="74"/>
      <c r="E287" s="74"/>
      <c r="F287" s="74"/>
      <c r="G287" s="74"/>
      <c r="Q287" s="71" t="s">
        <v>719</v>
      </c>
      <c r="R287" s="22" t="s">
        <v>184</v>
      </c>
      <c r="S287" s="71" t="s">
        <v>250</v>
      </c>
      <c r="T287" s="115">
        <v>8</v>
      </c>
      <c r="U287" s="71" t="s">
        <v>699</v>
      </c>
    </row>
    <row r="288" spans="1:21" ht="15.5">
      <c r="A288" s="80" t="s">
        <v>729</v>
      </c>
      <c r="B288" s="74"/>
      <c r="C288" s="74"/>
      <c r="D288" s="74"/>
      <c r="E288" s="74"/>
      <c r="F288" s="74"/>
      <c r="G288" s="74"/>
      <c r="Q288" s="71" t="s">
        <v>719</v>
      </c>
      <c r="R288" s="22" t="s">
        <v>184</v>
      </c>
      <c r="S288" s="71" t="s">
        <v>239</v>
      </c>
      <c r="T288" s="115">
        <v>51130</v>
      </c>
      <c r="U288" s="71" t="s">
        <v>693</v>
      </c>
    </row>
    <row r="289" spans="1:21">
      <c r="A289" s="71" t="s">
        <v>730</v>
      </c>
      <c r="B289" s="71"/>
      <c r="C289" s="71"/>
      <c r="D289" s="71"/>
      <c r="E289" s="71"/>
      <c r="F289" s="71"/>
      <c r="G289" s="71"/>
      <c r="Q289" s="71" t="s">
        <v>719</v>
      </c>
      <c r="R289" s="22" t="s">
        <v>184</v>
      </c>
      <c r="S289" s="71" t="s">
        <v>239</v>
      </c>
      <c r="T289" s="115">
        <v>31030</v>
      </c>
      <c r="U289" s="71" t="s">
        <v>720</v>
      </c>
    </row>
    <row r="290" spans="1:21" ht="15.5">
      <c r="A290" s="75" t="s">
        <v>731</v>
      </c>
      <c r="B290" s="71"/>
      <c r="C290" s="71"/>
      <c r="D290" s="71"/>
      <c r="E290" s="71"/>
      <c r="F290" s="71"/>
      <c r="G290" s="71"/>
      <c r="Q290" s="71" t="s">
        <v>732</v>
      </c>
      <c r="R290" s="22" t="s">
        <v>252</v>
      </c>
      <c r="S290" s="71" t="s">
        <v>241</v>
      </c>
      <c r="T290" s="115">
        <v>624</v>
      </c>
      <c r="U290" s="71" t="s">
        <v>693</v>
      </c>
    </row>
    <row r="291" spans="1:21" ht="15.5">
      <c r="A291" s="75" t="s">
        <v>516</v>
      </c>
      <c r="B291" s="71" t="s">
        <v>245</v>
      </c>
      <c r="C291" s="71" t="s">
        <v>517</v>
      </c>
      <c r="D291" s="71"/>
      <c r="E291" s="71"/>
      <c r="F291" s="71"/>
      <c r="G291" s="71"/>
      <c r="Q291" s="71" t="s">
        <v>732</v>
      </c>
      <c r="R291" s="22" t="s">
        <v>252</v>
      </c>
      <c r="S291" s="71" t="s">
        <v>241</v>
      </c>
      <c r="T291" s="115">
        <v>419</v>
      </c>
      <c r="U291" s="71" t="s">
        <v>695</v>
      </c>
    </row>
    <row r="292" spans="1:21">
      <c r="A292" s="71" t="s">
        <v>248</v>
      </c>
      <c r="B292" s="72">
        <v>10</v>
      </c>
      <c r="C292" s="71" t="s">
        <v>733</v>
      </c>
      <c r="D292" s="71"/>
      <c r="E292" s="71"/>
      <c r="F292" s="71"/>
      <c r="G292" s="71"/>
      <c r="Q292" s="71" t="s">
        <v>732</v>
      </c>
      <c r="R292" s="22" t="s">
        <v>252</v>
      </c>
      <c r="S292" s="71" t="s">
        <v>241</v>
      </c>
      <c r="T292" s="115">
        <v>255</v>
      </c>
      <c r="U292" s="71" t="s">
        <v>696</v>
      </c>
    </row>
    <row r="293" spans="1:21" ht="15.5">
      <c r="A293" s="82"/>
      <c r="B293" s="71"/>
      <c r="C293" s="71" t="s">
        <v>734</v>
      </c>
      <c r="D293" s="71"/>
      <c r="E293" s="71"/>
      <c r="F293" s="71"/>
      <c r="G293" s="71"/>
      <c r="Q293" s="71" t="s">
        <v>732</v>
      </c>
      <c r="R293" s="22" t="s">
        <v>252</v>
      </c>
      <c r="S293" s="71" t="s">
        <v>241</v>
      </c>
      <c r="T293" s="115">
        <v>281</v>
      </c>
      <c r="U293" s="71" t="s">
        <v>697</v>
      </c>
    </row>
    <row r="294" spans="1:21">
      <c r="A294" s="71"/>
      <c r="B294" s="71"/>
      <c r="C294" s="71"/>
      <c r="D294" s="71"/>
      <c r="E294" s="71"/>
      <c r="F294" s="71"/>
      <c r="G294" s="71"/>
      <c r="Q294" s="71" t="s">
        <v>732</v>
      </c>
      <c r="R294" s="22" t="s">
        <v>252</v>
      </c>
      <c r="S294" s="71" t="s">
        <v>233</v>
      </c>
      <c r="T294" s="115">
        <v>9814</v>
      </c>
      <c r="U294" s="71" t="s">
        <v>693</v>
      </c>
    </row>
    <row r="295" spans="1:21" ht="15.5">
      <c r="A295" s="74" t="s">
        <v>735</v>
      </c>
      <c r="B295" s="74"/>
      <c r="C295" s="74"/>
      <c r="D295" s="74"/>
      <c r="E295" s="74"/>
      <c r="F295" s="74"/>
      <c r="G295" s="74"/>
      <c r="Q295" s="71" t="s">
        <v>732</v>
      </c>
      <c r="R295" s="22" t="s">
        <v>252</v>
      </c>
      <c r="S295" s="71" t="s">
        <v>233</v>
      </c>
      <c r="T295" s="115">
        <v>43653</v>
      </c>
      <c r="U295" s="71" t="s">
        <v>693</v>
      </c>
    </row>
    <row r="296" spans="1:21" ht="15.5">
      <c r="A296" s="80" t="s">
        <v>736</v>
      </c>
      <c r="B296" s="74"/>
      <c r="C296" s="74"/>
      <c r="D296" s="74"/>
      <c r="E296" s="74"/>
      <c r="F296" s="74"/>
      <c r="G296" s="74"/>
      <c r="Q296" s="71" t="s">
        <v>732</v>
      </c>
      <c r="R296" s="22" t="s">
        <v>252</v>
      </c>
      <c r="S296" s="71" t="s">
        <v>233</v>
      </c>
      <c r="T296" s="115">
        <v>25049</v>
      </c>
      <c r="U296" s="71" t="s">
        <v>695</v>
      </c>
    </row>
    <row r="297" spans="1:21">
      <c r="A297" s="71" t="s">
        <v>737</v>
      </c>
      <c r="B297" s="71"/>
      <c r="C297" s="71"/>
      <c r="D297" s="71"/>
      <c r="E297" s="71"/>
      <c r="F297" s="71"/>
      <c r="G297" s="71"/>
      <c r="Q297" s="71" t="s">
        <v>732</v>
      </c>
      <c r="R297" s="22" t="s">
        <v>252</v>
      </c>
      <c r="S297" s="71" t="s">
        <v>233</v>
      </c>
      <c r="T297" s="115">
        <v>38864</v>
      </c>
      <c r="U297" s="71" t="s">
        <v>695</v>
      </c>
    </row>
    <row r="298" spans="1:21">
      <c r="A298" s="71" t="s">
        <v>738</v>
      </c>
      <c r="B298" s="71" t="s">
        <v>739</v>
      </c>
      <c r="C298" s="71" t="s">
        <v>502</v>
      </c>
      <c r="D298" s="71" t="s">
        <v>740</v>
      </c>
      <c r="E298" s="71" t="s">
        <v>741</v>
      </c>
      <c r="F298" s="71" t="s">
        <v>517</v>
      </c>
      <c r="G298" s="71"/>
      <c r="Q298" s="71" t="s">
        <v>732</v>
      </c>
      <c r="R298" s="22" t="s">
        <v>252</v>
      </c>
      <c r="S298" s="71" t="s">
        <v>233</v>
      </c>
      <c r="T298" s="115">
        <v>11716</v>
      </c>
      <c r="U298" s="71" t="s">
        <v>696</v>
      </c>
    </row>
    <row r="299" spans="1:21">
      <c r="A299" s="71" t="s">
        <v>653</v>
      </c>
      <c r="B299" s="72">
        <v>29.4</v>
      </c>
      <c r="C299" s="72"/>
      <c r="D299" s="72"/>
      <c r="E299" s="71"/>
      <c r="F299" s="71"/>
      <c r="G299" s="71"/>
      <c r="Q299" s="71" t="s">
        <v>732</v>
      </c>
      <c r="R299" s="22" t="s">
        <v>252</v>
      </c>
      <c r="S299" s="71" t="s">
        <v>233</v>
      </c>
      <c r="T299" s="115">
        <v>18178</v>
      </c>
      <c r="U299" s="71" t="s">
        <v>696</v>
      </c>
    </row>
    <row r="300" spans="1:21">
      <c r="A300" s="71" t="s">
        <v>661</v>
      </c>
      <c r="B300" s="72">
        <v>31.4</v>
      </c>
      <c r="C300" s="72"/>
      <c r="D300" s="72"/>
      <c r="E300" s="71"/>
      <c r="F300" s="71"/>
      <c r="G300" s="71"/>
      <c r="Q300" s="71" t="s">
        <v>732</v>
      </c>
      <c r="R300" s="22" t="s">
        <v>252</v>
      </c>
      <c r="S300" s="71" t="s">
        <v>233</v>
      </c>
      <c r="T300" s="115">
        <v>7141</v>
      </c>
      <c r="U300" s="71" t="s">
        <v>697</v>
      </c>
    </row>
    <row r="301" spans="1:21">
      <c r="A301" s="71" t="s">
        <v>415</v>
      </c>
      <c r="B301" s="72"/>
      <c r="C301" s="72">
        <v>8.2200000000000006</v>
      </c>
      <c r="D301" s="72"/>
      <c r="E301" s="71"/>
      <c r="F301" s="71"/>
      <c r="G301" s="71"/>
      <c r="Q301" s="71" t="s">
        <v>732</v>
      </c>
      <c r="R301" s="22" t="s">
        <v>252</v>
      </c>
      <c r="S301" s="71" t="s">
        <v>233</v>
      </c>
      <c r="T301" s="115">
        <v>10326</v>
      </c>
      <c r="U301" s="71" t="s">
        <v>697</v>
      </c>
    </row>
    <row r="302" spans="1:21">
      <c r="A302" s="71" t="s">
        <v>627</v>
      </c>
      <c r="B302" s="72"/>
      <c r="C302" s="72">
        <v>14.9</v>
      </c>
      <c r="D302" s="72"/>
      <c r="E302" s="71"/>
      <c r="F302" s="71"/>
      <c r="G302" s="71"/>
      <c r="Q302" s="71" t="s">
        <v>732</v>
      </c>
      <c r="R302" s="22" t="s">
        <v>252</v>
      </c>
      <c r="S302" s="71" t="s">
        <v>233</v>
      </c>
      <c r="T302" s="115">
        <v>17313</v>
      </c>
      <c r="U302" s="71" t="s">
        <v>697</v>
      </c>
    </row>
    <row r="303" spans="1:21">
      <c r="A303" s="71" t="s">
        <v>618</v>
      </c>
      <c r="B303" s="72"/>
      <c r="C303" s="72">
        <v>9</v>
      </c>
      <c r="D303" s="72"/>
      <c r="E303" s="71"/>
      <c r="F303" s="71"/>
      <c r="G303" s="71"/>
      <c r="Q303" s="71" t="s">
        <v>732</v>
      </c>
      <c r="R303" s="22" t="s">
        <v>252</v>
      </c>
      <c r="S303" s="71" t="s">
        <v>233</v>
      </c>
      <c r="T303" s="115">
        <v>25033</v>
      </c>
      <c r="U303" s="71" t="s">
        <v>697</v>
      </c>
    </row>
    <row r="304" spans="1:21">
      <c r="A304" s="71" t="s">
        <v>632</v>
      </c>
      <c r="B304" s="72"/>
      <c r="C304" s="72">
        <v>20.399999999999999</v>
      </c>
      <c r="D304" s="72"/>
      <c r="E304" s="71"/>
      <c r="F304" s="71"/>
      <c r="G304" s="71"/>
      <c r="Q304" s="71" t="s">
        <v>732</v>
      </c>
      <c r="R304" s="22" t="s">
        <v>252</v>
      </c>
      <c r="S304" s="71" t="s">
        <v>233</v>
      </c>
      <c r="T304" s="115">
        <v>16175</v>
      </c>
      <c r="U304" s="71" t="s">
        <v>699</v>
      </c>
    </row>
    <row r="305" spans="1:21">
      <c r="A305" s="71" t="s">
        <v>413</v>
      </c>
      <c r="B305" s="72"/>
      <c r="C305" s="72"/>
      <c r="D305" s="72">
        <v>63000</v>
      </c>
      <c r="E305" s="71"/>
      <c r="F305" s="71" t="s">
        <v>742</v>
      </c>
      <c r="G305" s="69" t="s">
        <v>743</v>
      </c>
      <c r="Q305" s="71" t="s">
        <v>732</v>
      </c>
      <c r="R305" s="22" t="s">
        <v>252</v>
      </c>
      <c r="S305" s="71" t="s">
        <v>233</v>
      </c>
      <c r="T305" s="115">
        <v>25096</v>
      </c>
      <c r="U305" s="71" t="s">
        <v>699</v>
      </c>
    </row>
    <row r="306" spans="1:21">
      <c r="A306" s="71" t="s">
        <v>744</v>
      </c>
      <c r="B306" s="72"/>
      <c r="C306" s="72"/>
      <c r="D306" s="72">
        <v>73000</v>
      </c>
      <c r="E306" s="71"/>
      <c r="F306" s="86" t="s">
        <v>745</v>
      </c>
      <c r="G306" s="71"/>
      <c r="Q306" s="71" t="s">
        <v>732</v>
      </c>
      <c r="R306" s="22" t="s">
        <v>252</v>
      </c>
      <c r="S306" s="71" t="s">
        <v>240</v>
      </c>
      <c r="T306" s="115">
        <v>545</v>
      </c>
      <c r="U306" s="71" t="s">
        <v>696</v>
      </c>
    </row>
    <row r="307" spans="1:21">
      <c r="A307" s="71" t="s">
        <v>649</v>
      </c>
      <c r="B307" s="72"/>
      <c r="C307" s="72"/>
      <c r="D307" s="72">
        <v>8500</v>
      </c>
      <c r="E307" s="71"/>
      <c r="F307" s="71"/>
      <c r="G307" s="71"/>
      <c r="Q307" s="71" t="s">
        <v>732</v>
      </c>
      <c r="R307" s="22" t="s">
        <v>252</v>
      </c>
      <c r="S307" s="71" t="s">
        <v>240</v>
      </c>
      <c r="T307" s="115">
        <v>600</v>
      </c>
      <c r="U307" s="71" t="s">
        <v>697</v>
      </c>
    </row>
    <row r="308" spans="1:21">
      <c r="A308" s="71" t="s">
        <v>415</v>
      </c>
      <c r="B308" s="72"/>
      <c r="C308" s="72"/>
      <c r="D308" s="72">
        <v>4900</v>
      </c>
      <c r="E308" s="71"/>
      <c r="F308" s="71"/>
      <c r="G308" s="71"/>
      <c r="Q308" s="71" t="s">
        <v>732</v>
      </c>
      <c r="R308" s="22" t="s">
        <v>252</v>
      </c>
      <c r="S308" s="71" t="s">
        <v>240</v>
      </c>
      <c r="T308" s="115">
        <v>645</v>
      </c>
      <c r="U308" s="71" t="s">
        <v>697</v>
      </c>
    </row>
    <row r="309" spans="1:21">
      <c r="A309" s="71" t="s">
        <v>684</v>
      </c>
      <c r="B309" s="71"/>
      <c r="C309" s="71"/>
      <c r="D309" s="72" t="s">
        <v>746</v>
      </c>
      <c r="E309" s="72">
        <v>58</v>
      </c>
      <c r="F309" s="71"/>
      <c r="G309" s="71"/>
      <c r="Q309" s="71" t="s">
        <v>732</v>
      </c>
      <c r="R309" s="22" t="s">
        <v>252</v>
      </c>
      <c r="S309" s="71" t="s">
        <v>240</v>
      </c>
      <c r="T309" s="115">
        <v>565</v>
      </c>
      <c r="U309" s="71" t="s">
        <v>699</v>
      </c>
    </row>
    <row r="310" spans="1:21">
      <c r="A310" s="71" t="s">
        <v>246</v>
      </c>
      <c r="B310" s="71"/>
      <c r="C310" s="71"/>
      <c r="D310" s="72">
        <v>50000</v>
      </c>
      <c r="E310" s="71"/>
      <c r="F310" s="71"/>
      <c r="G310" s="71"/>
      <c r="Q310" s="71" t="s">
        <v>732</v>
      </c>
      <c r="R310" s="22" t="s">
        <v>252</v>
      </c>
      <c r="S310" s="71" t="s">
        <v>249</v>
      </c>
      <c r="T310" s="115">
        <v>112</v>
      </c>
      <c r="U310" s="71" t="s">
        <v>696</v>
      </c>
    </row>
    <row r="311" spans="1:21">
      <c r="A311" s="71"/>
      <c r="B311" s="71"/>
      <c r="C311" s="71"/>
      <c r="D311" s="71"/>
      <c r="E311" s="71"/>
      <c r="F311" s="71"/>
      <c r="G311" s="71"/>
      <c r="Q311" s="71" t="s">
        <v>732</v>
      </c>
      <c r="R311" s="22" t="s">
        <v>252</v>
      </c>
      <c r="S311" s="71" t="s">
        <v>249</v>
      </c>
      <c r="T311" s="115">
        <v>124</v>
      </c>
      <c r="U311" s="71" t="s">
        <v>697</v>
      </c>
    </row>
    <row r="312" spans="1:21">
      <c r="A312" s="71" t="s">
        <v>526</v>
      </c>
      <c r="B312" s="71" t="s">
        <v>527</v>
      </c>
      <c r="C312" s="71"/>
      <c r="D312" s="71"/>
      <c r="E312" s="71"/>
      <c r="F312" s="71"/>
      <c r="G312" s="71"/>
      <c r="Q312" s="71" t="s">
        <v>732</v>
      </c>
      <c r="R312" s="22" t="s">
        <v>252</v>
      </c>
      <c r="S312" s="71" t="s">
        <v>249</v>
      </c>
      <c r="T312" s="115">
        <v>199</v>
      </c>
      <c r="U312" s="71" t="s">
        <v>699</v>
      </c>
    </row>
    <row r="313" spans="1:21">
      <c r="A313" s="71" t="s">
        <v>528</v>
      </c>
      <c r="B313" s="71">
        <v>39375</v>
      </c>
      <c r="C313" s="71"/>
      <c r="D313" s="71"/>
      <c r="E313" s="71"/>
      <c r="F313" s="71"/>
      <c r="G313" s="71"/>
      <c r="Q313" s="71" t="s">
        <v>732</v>
      </c>
      <c r="R313" s="22" t="s">
        <v>252</v>
      </c>
      <c r="S313" s="71" t="s">
        <v>250</v>
      </c>
      <c r="T313" s="115">
        <v>10</v>
      </c>
      <c r="U313" s="71" t="s">
        <v>696</v>
      </c>
    </row>
    <row r="314" spans="1:21">
      <c r="A314" s="71" t="s">
        <v>530</v>
      </c>
      <c r="B314" s="71">
        <v>25200</v>
      </c>
      <c r="C314" s="71"/>
      <c r="D314" s="71"/>
      <c r="E314" s="71"/>
      <c r="F314" s="71"/>
      <c r="G314" s="71"/>
      <c r="Q314" s="71" t="s">
        <v>732</v>
      </c>
      <c r="R314" s="22" t="s">
        <v>252</v>
      </c>
      <c r="S314" s="71" t="s">
        <v>250</v>
      </c>
      <c r="T314" s="115">
        <v>11</v>
      </c>
      <c r="U314" s="71" t="s">
        <v>697</v>
      </c>
    </row>
    <row r="315" spans="1:21">
      <c r="A315" s="71"/>
      <c r="B315" s="71"/>
      <c r="C315" s="71"/>
      <c r="D315" s="71"/>
      <c r="E315" s="71"/>
      <c r="F315" s="71"/>
      <c r="G315" s="71"/>
      <c r="Q315" s="71" t="s">
        <v>732</v>
      </c>
      <c r="R315" s="22" t="s">
        <v>252</v>
      </c>
      <c r="S315" s="71" t="s">
        <v>250</v>
      </c>
      <c r="T315" s="115">
        <v>8</v>
      </c>
      <c r="U315" s="71" t="s">
        <v>699</v>
      </c>
    </row>
    <row r="316" spans="1:21">
      <c r="A316" s="71"/>
      <c r="B316" s="71" t="s">
        <v>531</v>
      </c>
      <c r="C316" s="71" t="s">
        <v>532</v>
      </c>
      <c r="D316" s="71"/>
      <c r="E316" s="71"/>
      <c r="F316" s="71"/>
      <c r="G316" s="71"/>
      <c r="Q316" s="71" t="s">
        <v>732</v>
      </c>
      <c r="R316" s="22" t="s">
        <v>252</v>
      </c>
      <c r="S316" s="71" t="s">
        <v>239</v>
      </c>
      <c r="T316" s="115">
        <v>95166</v>
      </c>
      <c r="U316" s="71" t="s">
        <v>693</v>
      </c>
    </row>
    <row r="317" spans="1:21">
      <c r="A317" s="71" t="s">
        <v>534</v>
      </c>
      <c r="B317" s="71">
        <v>6496875</v>
      </c>
      <c r="C317" s="72">
        <v>6496.875</v>
      </c>
      <c r="D317" s="71"/>
      <c r="E317" s="71"/>
      <c r="F317" s="71"/>
      <c r="G317" s="71"/>
      <c r="Q317" s="71" t="s">
        <v>732</v>
      </c>
      <c r="R317" s="22" t="s">
        <v>252</v>
      </c>
      <c r="S317" s="71" t="s">
        <v>239</v>
      </c>
      <c r="T317" s="115">
        <v>78550</v>
      </c>
      <c r="U317" s="71" t="s">
        <v>695</v>
      </c>
    </row>
    <row r="318" spans="1:21">
      <c r="A318" s="71" t="s">
        <v>536</v>
      </c>
      <c r="B318" s="71">
        <v>10080000</v>
      </c>
      <c r="C318" s="72">
        <v>10080</v>
      </c>
      <c r="D318" s="71"/>
      <c r="E318" s="71"/>
      <c r="F318" s="71"/>
      <c r="G318" s="71"/>
      <c r="Q318" s="71" t="s">
        <v>732</v>
      </c>
      <c r="R318" s="22" t="s">
        <v>252</v>
      </c>
      <c r="S318" s="71" t="s">
        <v>239</v>
      </c>
      <c r="T318" s="115">
        <v>61648</v>
      </c>
      <c r="U318" s="71" t="s">
        <v>696</v>
      </c>
    </row>
    <row r="319" spans="1:21">
      <c r="A319" s="71"/>
      <c r="B319" s="71"/>
      <c r="C319" s="71"/>
      <c r="D319" s="71"/>
      <c r="E319" s="71"/>
      <c r="F319" s="71"/>
      <c r="G319" s="71"/>
      <c r="Q319" s="71" t="s">
        <v>732</v>
      </c>
      <c r="R319" s="22" t="s">
        <v>252</v>
      </c>
      <c r="S319" s="71" t="s">
        <v>239</v>
      </c>
      <c r="T319" s="115">
        <v>67695</v>
      </c>
      <c r="U319" s="71" t="s">
        <v>697</v>
      </c>
    </row>
    <row r="320" spans="1:21" s="3" customFormat="1" ht="15.5">
      <c r="A320" s="105" t="s">
        <v>747</v>
      </c>
      <c r="B320" s="105"/>
      <c r="C320" s="105"/>
      <c r="D320" s="105"/>
      <c r="E320" s="105"/>
      <c r="F320" s="105"/>
      <c r="G320" s="105"/>
      <c r="Q320" s="71" t="s">
        <v>748</v>
      </c>
      <c r="R320" s="22" t="s">
        <v>255</v>
      </c>
      <c r="S320" s="71" t="s">
        <v>241</v>
      </c>
      <c r="T320" s="115">
        <v>1300</v>
      </c>
      <c r="U320" s="71" t="s">
        <v>710</v>
      </c>
    </row>
    <row r="321" spans="1:21" s="3" customFormat="1" ht="15.5">
      <c r="A321" s="105" t="s">
        <v>749</v>
      </c>
      <c r="B321" s="105"/>
      <c r="C321" s="105"/>
      <c r="D321" s="105"/>
      <c r="E321" s="105"/>
      <c r="F321" s="105"/>
      <c r="G321" s="105"/>
      <c r="Q321" s="71" t="s">
        <v>748</v>
      </c>
      <c r="R321" s="22" t="s">
        <v>255</v>
      </c>
      <c r="S321" s="71" t="s">
        <v>233</v>
      </c>
      <c r="T321" s="115">
        <v>25087</v>
      </c>
      <c r="U321" s="71" t="s">
        <v>710</v>
      </c>
    </row>
    <row r="322" spans="1:21" s="3" customFormat="1">
      <c r="A322" s="106"/>
      <c r="B322" s="106"/>
      <c r="C322" s="106"/>
      <c r="D322" s="106"/>
      <c r="E322" s="106"/>
      <c r="F322" s="106"/>
      <c r="G322" s="106"/>
      <c r="Q322" s="71" t="s">
        <v>748</v>
      </c>
      <c r="R322" s="22" t="s">
        <v>255</v>
      </c>
      <c r="S322" s="71" t="s">
        <v>233</v>
      </c>
      <c r="T322" s="115">
        <v>38923</v>
      </c>
      <c r="U322" s="71" t="s">
        <v>710</v>
      </c>
    </row>
    <row r="323" spans="1:21" s="3" customFormat="1">
      <c r="A323" s="106" t="s">
        <v>750</v>
      </c>
      <c r="B323" s="106" t="s">
        <v>751</v>
      </c>
      <c r="C323" s="106" t="s">
        <v>751</v>
      </c>
      <c r="D323" s="106" t="s">
        <v>751</v>
      </c>
      <c r="E323" s="106" t="s">
        <v>751</v>
      </c>
      <c r="F323" s="106" t="s">
        <v>752</v>
      </c>
      <c r="G323" s="106"/>
      <c r="Q323" s="71" t="s">
        <v>748</v>
      </c>
      <c r="R323" s="22" t="s">
        <v>255</v>
      </c>
      <c r="S323" s="71" t="s">
        <v>240</v>
      </c>
      <c r="T323" s="115">
        <v>545</v>
      </c>
      <c r="U323" s="71" t="s">
        <v>696</v>
      </c>
    </row>
    <row r="324" spans="1:21" s="3" customFormat="1">
      <c r="A324" s="106"/>
      <c r="B324" s="106" t="s">
        <v>753</v>
      </c>
      <c r="C324" s="106" t="s">
        <v>754</v>
      </c>
      <c r="D324" s="106" t="s">
        <v>755</v>
      </c>
      <c r="E324" s="106" t="s">
        <v>756</v>
      </c>
      <c r="F324" s="106" t="s">
        <v>757</v>
      </c>
      <c r="G324" s="106"/>
      <c r="Q324" s="71" t="s">
        <v>748</v>
      </c>
      <c r="R324" s="22" t="s">
        <v>255</v>
      </c>
      <c r="S324" s="71" t="s">
        <v>240</v>
      </c>
      <c r="T324" s="115">
        <v>600</v>
      </c>
      <c r="U324" s="71" t="s">
        <v>697</v>
      </c>
    </row>
    <row r="325" spans="1:21" s="3" customFormat="1">
      <c r="A325" s="106" t="s">
        <v>758</v>
      </c>
      <c r="B325" s="107">
        <v>4118</v>
      </c>
      <c r="C325" s="108">
        <v>3.5</v>
      </c>
      <c r="D325" s="107">
        <v>1</v>
      </c>
      <c r="E325" s="107">
        <v>1</v>
      </c>
      <c r="F325" s="106"/>
      <c r="G325" s="106"/>
      <c r="Q325" s="71" t="s">
        <v>748</v>
      </c>
      <c r="R325" s="22" t="s">
        <v>255</v>
      </c>
      <c r="S325" s="71" t="s">
        <v>240</v>
      </c>
      <c r="T325" s="115">
        <v>645</v>
      </c>
      <c r="U325" s="71" t="s">
        <v>697</v>
      </c>
    </row>
    <row r="326" spans="1:21" s="3" customFormat="1">
      <c r="A326" s="106" t="s">
        <v>759</v>
      </c>
      <c r="B326" s="107"/>
      <c r="C326" s="108"/>
      <c r="D326" s="107"/>
      <c r="E326" s="107"/>
      <c r="F326" s="106"/>
      <c r="G326" s="106"/>
      <c r="Q326" s="71" t="s">
        <v>748</v>
      </c>
      <c r="R326" s="22" t="s">
        <v>255</v>
      </c>
      <c r="S326" s="71" t="s">
        <v>249</v>
      </c>
      <c r="T326" s="115">
        <v>112</v>
      </c>
      <c r="U326" s="71" t="s">
        <v>696</v>
      </c>
    </row>
    <row r="327" spans="1:21" s="3" customFormat="1">
      <c r="A327" s="106" t="s">
        <v>241</v>
      </c>
      <c r="B327" s="107">
        <v>43200</v>
      </c>
      <c r="C327" s="108">
        <v>19000</v>
      </c>
      <c r="D327" s="107">
        <v>11400</v>
      </c>
      <c r="E327" s="107">
        <v>23000</v>
      </c>
      <c r="F327" s="106"/>
      <c r="G327" s="106"/>
      <c r="Q327" s="71" t="s">
        <v>748</v>
      </c>
      <c r="R327" s="22" t="s">
        <v>255</v>
      </c>
      <c r="S327" s="71" t="s">
        <v>249</v>
      </c>
      <c r="T327" s="115">
        <v>124</v>
      </c>
      <c r="U327" s="71" t="s">
        <v>697</v>
      </c>
    </row>
    <row r="328" spans="1:21" s="3" customFormat="1">
      <c r="A328" s="106" t="s">
        <v>413</v>
      </c>
      <c r="B328" s="107">
        <v>540000</v>
      </c>
      <c r="C328" s="108">
        <v>65700</v>
      </c>
      <c r="D328" s="107"/>
      <c r="E328" s="107"/>
      <c r="F328" s="106"/>
      <c r="G328" s="106"/>
      <c r="Q328" s="71" t="s">
        <v>748</v>
      </c>
      <c r="R328" s="22" t="s">
        <v>255</v>
      </c>
      <c r="S328" s="71" t="s">
        <v>249</v>
      </c>
      <c r="T328" s="115">
        <v>199</v>
      </c>
      <c r="U328" s="71" t="s">
        <v>699</v>
      </c>
    </row>
    <row r="329" spans="1:21" s="3" customFormat="1">
      <c r="A329" s="106" t="s">
        <v>415</v>
      </c>
      <c r="B329" s="107">
        <v>117000</v>
      </c>
      <c r="C329" s="108">
        <v>7530</v>
      </c>
      <c r="D329" s="107">
        <v>170</v>
      </c>
      <c r="E329" s="107">
        <v>850</v>
      </c>
      <c r="F329" s="106" t="s">
        <v>760</v>
      </c>
      <c r="G329" s="106"/>
      <c r="Q329" s="71" t="s">
        <v>748</v>
      </c>
      <c r="R329" s="22" t="s">
        <v>255</v>
      </c>
      <c r="S329" s="71" t="s">
        <v>250</v>
      </c>
      <c r="T329" s="115">
        <v>10</v>
      </c>
      <c r="U329" s="71" t="s">
        <v>696</v>
      </c>
    </row>
    <row r="330" spans="1:21" s="3" customFormat="1">
      <c r="A330" s="106" t="s">
        <v>239</v>
      </c>
      <c r="B330" s="107">
        <v>1117000</v>
      </c>
      <c r="C330" s="108">
        <v>55900</v>
      </c>
      <c r="D330" s="107"/>
      <c r="E330" s="107"/>
      <c r="F330" s="106"/>
      <c r="G330" s="106"/>
      <c r="Q330" s="71" t="s">
        <v>748</v>
      </c>
      <c r="R330" s="22" t="s">
        <v>255</v>
      </c>
      <c r="S330" s="71" t="s">
        <v>250</v>
      </c>
      <c r="T330" s="115">
        <v>11</v>
      </c>
      <c r="U330" s="71" t="s">
        <v>697</v>
      </c>
    </row>
    <row r="331" spans="1:21" s="3" customFormat="1">
      <c r="A331" s="106"/>
      <c r="B331" s="109"/>
      <c r="C331" s="109"/>
      <c r="D331" s="106"/>
      <c r="E331" s="106"/>
      <c r="F331" s="106"/>
      <c r="G331" s="106"/>
      <c r="Q331" s="71" t="s">
        <v>748</v>
      </c>
      <c r="R331" s="22" t="s">
        <v>255</v>
      </c>
      <c r="S331" s="71" t="s">
        <v>250</v>
      </c>
      <c r="T331" s="115">
        <v>8</v>
      </c>
      <c r="U331" s="71" t="s">
        <v>699</v>
      </c>
    </row>
    <row r="332" spans="1:21" s="3" customFormat="1">
      <c r="A332" s="106" t="s">
        <v>526</v>
      </c>
      <c r="B332" s="106" t="s">
        <v>527</v>
      </c>
      <c r="C332" s="106"/>
      <c r="D332" s="106"/>
      <c r="E332" s="106"/>
      <c r="F332" s="106"/>
      <c r="G332" s="106"/>
      <c r="Q332" s="71" t="s">
        <v>748</v>
      </c>
      <c r="R332" s="22" t="s">
        <v>255</v>
      </c>
      <c r="S332" s="71" t="s">
        <v>239</v>
      </c>
      <c r="T332" s="115">
        <v>79560</v>
      </c>
      <c r="U332" s="71" t="s">
        <v>710</v>
      </c>
    </row>
    <row r="333" spans="1:21" s="3" customFormat="1">
      <c r="A333" s="106" t="s">
        <v>528</v>
      </c>
      <c r="B333" s="106">
        <v>41062.5</v>
      </c>
      <c r="C333" s="106"/>
      <c r="D333" s="106"/>
      <c r="E333" s="106"/>
      <c r="F333" s="106"/>
      <c r="G333" s="106"/>
      <c r="Q333" s="71" t="s">
        <v>761</v>
      </c>
      <c r="R333" s="22" t="s">
        <v>253</v>
      </c>
      <c r="S333" s="71" t="s">
        <v>241</v>
      </c>
      <c r="T333" s="115">
        <v>230</v>
      </c>
      <c r="U333" s="71" t="s">
        <v>693</v>
      </c>
    </row>
    <row r="334" spans="1:21" s="3" customFormat="1">
      <c r="A334" s="106" t="s">
        <v>530</v>
      </c>
      <c r="B334" s="106">
        <v>26280</v>
      </c>
      <c r="C334" s="106"/>
      <c r="D334" s="106"/>
      <c r="E334" s="106"/>
      <c r="F334" s="106"/>
      <c r="G334" s="106"/>
      <c r="Q334" s="71" t="s">
        <v>761</v>
      </c>
      <c r="R334" s="22" t="s">
        <v>253</v>
      </c>
      <c r="S334" s="71" t="s">
        <v>241</v>
      </c>
      <c r="T334" s="115">
        <v>204</v>
      </c>
      <c r="U334" s="71" t="s">
        <v>720</v>
      </c>
    </row>
    <row r="335" spans="1:21" s="3" customFormat="1">
      <c r="A335" s="106"/>
      <c r="B335" s="106"/>
      <c r="C335" s="106"/>
      <c r="D335" s="106"/>
      <c r="E335" s="106"/>
      <c r="F335" s="106"/>
      <c r="G335" s="106"/>
      <c r="Q335" s="71" t="s">
        <v>761</v>
      </c>
      <c r="R335" s="22" t="s">
        <v>253</v>
      </c>
      <c r="S335" s="71" t="s">
        <v>233</v>
      </c>
      <c r="T335" s="115">
        <v>8067</v>
      </c>
      <c r="U335" s="71" t="s">
        <v>693</v>
      </c>
    </row>
    <row r="336" spans="1:21" s="3" customFormat="1">
      <c r="A336" s="106"/>
      <c r="B336" s="106" t="s">
        <v>531</v>
      </c>
      <c r="C336" s="106" t="s">
        <v>532</v>
      </c>
      <c r="D336" s="106"/>
      <c r="E336" s="106"/>
      <c r="F336" s="106"/>
      <c r="G336" s="106"/>
      <c r="Q336" s="71" t="s">
        <v>761</v>
      </c>
      <c r="R336" s="22" t="s">
        <v>253</v>
      </c>
      <c r="S336" s="71" t="s">
        <v>233</v>
      </c>
      <c r="T336" s="115">
        <v>17447</v>
      </c>
      <c r="U336" s="71" t="s">
        <v>693</v>
      </c>
    </row>
    <row r="337" spans="1:21" s="3" customFormat="1">
      <c r="A337" s="106" t="s">
        <v>534</v>
      </c>
      <c r="B337" s="106">
        <v>6775312.5</v>
      </c>
      <c r="C337" s="108">
        <v>6775.3125</v>
      </c>
      <c r="D337" s="106"/>
      <c r="E337" s="106"/>
      <c r="F337" s="106"/>
      <c r="G337" s="106"/>
      <c r="Q337" s="71" t="s">
        <v>761</v>
      </c>
      <c r="R337" s="22" t="s">
        <v>253</v>
      </c>
      <c r="S337" s="71" t="s">
        <v>233</v>
      </c>
      <c r="T337" s="115">
        <v>15423</v>
      </c>
      <c r="U337" s="71" t="s">
        <v>720</v>
      </c>
    </row>
    <row r="338" spans="1:21" s="3" customFormat="1">
      <c r="A338" s="106" t="s">
        <v>536</v>
      </c>
      <c r="B338" s="106">
        <v>10512000</v>
      </c>
      <c r="C338" s="108">
        <v>10512</v>
      </c>
      <c r="D338" s="106"/>
      <c r="E338" s="106"/>
      <c r="F338" s="106"/>
      <c r="G338" s="106"/>
      <c r="Q338" s="71" t="s">
        <v>761</v>
      </c>
      <c r="R338" s="22" t="s">
        <v>253</v>
      </c>
      <c r="S338" s="71" t="s">
        <v>233</v>
      </c>
      <c r="T338" s="115">
        <v>23929</v>
      </c>
      <c r="U338" s="71" t="s">
        <v>720</v>
      </c>
    </row>
    <row r="339" spans="1:21">
      <c r="A339" s="71"/>
      <c r="B339" s="71"/>
      <c r="C339" s="71"/>
      <c r="D339" s="71"/>
      <c r="E339" s="71"/>
      <c r="F339" s="71"/>
      <c r="G339" s="71"/>
      <c r="Q339" s="71" t="s">
        <v>761</v>
      </c>
      <c r="R339" s="22" t="s">
        <v>253</v>
      </c>
      <c r="S339" s="71" t="s">
        <v>240</v>
      </c>
      <c r="T339" s="115">
        <v>545</v>
      </c>
      <c r="U339" s="71" t="s">
        <v>696</v>
      </c>
    </row>
    <row r="340" spans="1:21" ht="15.5">
      <c r="A340" s="74" t="s">
        <v>762</v>
      </c>
      <c r="B340" s="74"/>
      <c r="C340" s="74"/>
      <c r="D340" s="74"/>
      <c r="E340" s="74"/>
      <c r="F340" s="74"/>
      <c r="G340" s="74"/>
      <c r="Q340" s="71" t="s">
        <v>761</v>
      </c>
      <c r="R340" s="22" t="s">
        <v>253</v>
      </c>
      <c r="S340" s="71" t="s">
        <v>240</v>
      </c>
      <c r="T340" s="115">
        <v>600</v>
      </c>
      <c r="U340" s="71" t="s">
        <v>697</v>
      </c>
    </row>
    <row r="341" spans="1:21" ht="15.5">
      <c r="A341" s="80" t="s">
        <v>763</v>
      </c>
      <c r="B341" s="74"/>
      <c r="C341" s="74"/>
      <c r="D341" s="74"/>
      <c r="E341" s="74"/>
      <c r="F341" s="74"/>
      <c r="G341" s="74"/>
      <c r="Q341" s="71" t="s">
        <v>761</v>
      </c>
      <c r="R341" s="22" t="s">
        <v>253</v>
      </c>
      <c r="S341" s="71" t="s">
        <v>240</v>
      </c>
      <c r="T341" s="115">
        <v>645</v>
      </c>
      <c r="U341" s="71" t="s">
        <v>697</v>
      </c>
    </row>
    <row r="342" spans="1:21">
      <c r="A342" s="71" t="s">
        <v>764</v>
      </c>
      <c r="B342" s="71"/>
      <c r="C342" s="71"/>
      <c r="D342" s="71"/>
      <c r="E342" s="71"/>
      <c r="F342" s="71"/>
      <c r="G342" s="71"/>
      <c r="Q342" s="71" t="s">
        <v>761</v>
      </c>
      <c r="R342" s="22" t="s">
        <v>253</v>
      </c>
      <c r="S342" s="71" t="s">
        <v>240</v>
      </c>
      <c r="T342" s="115">
        <v>565</v>
      </c>
      <c r="U342" s="71" t="s">
        <v>699</v>
      </c>
    </row>
    <row r="343" spans="1:21">
      <c r="A343" s="84" t="s">
        <v>765</v>
      </c>
      <c r="B343" s="71"/>
      <c r="C343" s="71"/>
      <c r="D343" s="71"/>
      <c r="E343" s="71"/>
      <c r="F343" s="71"/>
      <c r="G343" s="71"/>
      <c r="Q343" s="71" t="s">
        <v>761</v>
      </c>
      <c r="R343" s="22" t="s">
        <v>253</v>
      </c>
      <c r="S343" s="71" t="s">
        <v>249</v>
      </c>
      <c r="T343" s="115">
        <v>112</v>
      </c>
      <c r="U343" s="71" t="s">
        <v>697</v>
      </c>
    </row>
    <row r="344" spans="1:21">
      <c r="A344" s="84" t="s">
        <v>766</v>
      </c>
      <c r="B344" s="71"/>
      <c r="C344" s="71"/>
      <c r="D344" s="71"/>
      <c r="E344" s="71"/>
      <c r="F344" s="71"/>
      <c r="G344" s="71"/>
      <c r="Q344" s="71" t="s">
        <v>761</v>
      </c>
      <c r="R344" s="22" t="s">
        <v>253</v>
      </c>
      <c r="S344" s="71" t="s">
        <v>249</v>
      </c>
      <c r="T344" s="115">
        <v>124</v>
      </c>
      <c r="U344" s="71" t="s">
        <v>697</v>
      </c>
    </row>
    <row r="345" spans="1:21">
      <c r="A345" s="84" t="s">
        <v>767</v>
      </c>
      <c r="B345" s="71"/>
      <c r="C345" s="71"/>
      <c r="D345" s="71"/>
      <c r="E345" s="71"/>
      <c r="F345" s="71"/>
      <c r="G345" s="71"/>
      <c r="Q345" s="71" t="s">
        <v>761</v>
      </c>
      <c r="R345" s="22" t="s">
        <v>253</v>
      </c>
      <c r="S345" s="71" t="s">
        <v>249</v>
      </c>
      <c r="T345" s="115">
        <v>199</v>
      </c>
      <c r="U345" s="71" t="s">
        <v>699</v>
      </c>
    </row>
    <row r="346" spans="1:21">
      <c r="A346" s="71"/>
      <c r="B346" s="71"/>
      <c r="C346" s="71"/>
      <c r="D346" s="71"/>
      <c r="E346" s="71"/>
      <c r="F346" s="71"/>
      <c r="G346" s="71"/>
      <c r="Q346" s="71" t="s">
        <v>761</v>
      </c>
      <c r="R346" s="22" t="s">
        <v>253</v>
      </c>
      <c r="S346" s="71" t="s">
        <v>250</v>
      </c>
      <c r="T346" s="115">
        <v>10</v>
      </c>
      <c r="U346" s="71" t="s">
        <v>697</v>
      </c>
    </row>
    <row r="347" spans="1:21">
      <c r="A347" s="71" t="s">
        <v>738</v>
      </c>
      <c r="B347" s="71" t="s">
        <v>245</v>
      </c>
      <c r="C347" s="71" t="s">
        <v>517</v>
      </c>
      <c r="D347" s="71"/>
      <c r="E347" s="71"/>
      <c r="F347" s="71"/>
      <c r="G347" s="71"/>
      <c r="Q347" s="71" t="s">
        <v>761</v>
      </c>
      <c r="R347" s="22" t="s">
        <v>253</v>
      </c>
      <c r="S347" s="71" t="s">
        <v>250</v>
      </c>
      <c r="T347" s="115">
        <v>11</v>
      </c>
      <c r="U347" s="71" t="s">
        <v>697</v>
      </c>
    </row>
    <row r="348" spans="1:21">
      <c r="A348" s="71" t="s">
        <v>250</v>
      </c>
      <c r="B348" s="72">
        <v>1</v>
      </c>
      <c r="C348" s="84" t="s">
        <v>768</v>
      </c>
      <c r="D348" s="71"/>
      <c r="E348" s="71"/>
      <c r="F348" s="71"/>
      <c r="G348" s="71"/>
      <c r="Q348" s="71" t="s">
        <v>761</v>
      </c>
      <c r="R348" s="22" t="s">
        <v>253</v>
      </c>
      <c r="S348" s="71" t="s">
        <v>250</v>
      </c>
      <c r="T348" s="115">
        <v>8</v>
      </c>
      <c r="U348" s="71" t="s">
        <v>699</v>
      </c>
    </row>
    <row r="349" spans="1:21">
      <c r="A349" s="71"/>
      <c r="B349" s="71"/>
      <c r="C349" s="71"/>
      <c r="D349" s="71"/>
      <c r="E349" s="71"/>
      <c r="F349" s="71"/>
      <c r="G349" s="71"/>
      <c r="Q349" s="71" t="s">
        <v>761</v>
      </c>
      <c r="R349" s="22" t="s">
        <v>253</v>
      </c>
      <c r="S349" s="71" t="s">
        <v>239</v>
      </c>
      <c r="T349" s="115">
        <v>78229</v>
      </c>
      <c r="U349" s="71" t="s">
        <v>693</v>
      </c>
    </row>
    <row r="350" spans="1:21">
      <c r="A350" s="71" t="s">
        <v>769</v>
      </c>
      <c r="B350" s="71"/>
      <c r="C350" s="71"/>
      <c r="D350" s="71"/>
      <c r="E350" s="71"/>
      <c r="F350" s="71"/>
      <c r="G350" s="71"/>
      <c r="Q350" s="71" t="s">
        <v>761</v>
      </c>
      <c r="R350" s="22" t="s">
        <v>253</v>
      </c>
      <c r="S350" s="71" t="s">
        <v>239</v>
      </c>
      <c r="T350" s="115">
        <v>47476</v>
      </c>
      <c r="U350" s="71" t="s">
        <v>720</v>
      </c>
    </row>
    <row r="351" spans="1:21">
      <c r="A351" s="69" t="s">
        <v>770</v>
      </c>
      <c r="B351" s="71"/>
      <c r="C351" s="71"/>
      <c r="D351" s="71"/>
      <c r="E351" s="71"/>
      <c r="F351" s="71"/>
      <c r="G351" s="71"/>
      <c r="Q351" s="71" t="s">
        <v>425</v>
      </c>
      <c r="R351" s="22" t="s">
        <v>195</v>
      </c>
      <c r="S351" s="71" t="s">
        <v>248</v>
      </c>
      <c r="T351" s="115">
        <v>1</v>
      </c>
      <c r="U351" s="71" t="s">
        <v>771</v>
      </c>
    </row>
    <row r="352" spans="1:21">
      <c r="A352" s="71"/>
      <c r="B352" s="71"/>
      <c r="C352" s="71"/>
      <c r="D352" s="71"/>
      <c r="E352" s="71"/>
      <c r="F352" s="71"/>
      <c r="G352" s="71"/>
      <c r="Q352" s="71" t="s">
        <v>425</v>
      </c>
      <c r="R352" s="22" t="s">
        <v>195</v>
      </c>
      <c r="S352" s="71" t="s">
        <v>248</v>
      </c>
      <c r="T352" s="115">
        <v>1</v>
      </c>
      <c r="U352" s="71" t="s">
        <v>697</v>
      </c>
    </row>
    <row r="353" spans="1:21" ht="15.5">
      <c r="A353" s="74" t="s">
        <v>582</v>
      </c>
      <c r="B353" s="74"/>
      <c r="C353" s="74"/>
      <c r="D353" s="74"/>
      <c r="E353" s="74"/>
      <c r="F353" s="74"/>
      <c r="G353" s="74"/>
      <c r="Q353" s="71" t="s">
        <v>425</v>
      </c>
      <c r="R353" s="22" t="s">
        <v>195</v>
      </c>
      <c r="S353" s="71" t="s">
        <v>248</v>
      </c>
      <c r="T353" s="115">
        <v>1</v>
      </c>
      <c r="U353" s="71" t="s">
        <v>772</v>
      </c>
    </row>
    <row r="354" spans="1:21" ht="15.5">
      <c r="A354" s="80" t="s">
        <v>773</v>
      </c>
      <c r="B354" s="74"/>
      <c r="C354" s="74"/>
      <c r="D354" s="74"/>
      <c r="E354" s="74"/>
      <c r="F354" s="74"/>
      <c r="G354" s="74"/>
      <c r="Q354" s="71" t="s">
        <v>425</v>
      </c>
      <c r="R354" s="22" t="s">
        <v>195</v>
      </c>
      <c r="S354" s="71" t="s">
        <v>241</v>
      </c>
      <c r="T354" s="115">
        <v>18</v>
      </c>
      <c r="U354" s="71" t="s">
        <v>771</v>
      </c>
    </row>
    <row r="355" spans="1:21">
      <c r="A355" s="72" t="s">
        <v>413</v>
      </c>
      <c r="B355" s="72">
        <v>47000</v>
      </c>
      <c r="C355" s="71"/>
      <c r="D355" s="71"/>
      <c r="E355" s="71"/>
      <c r="F355" s="71"/>
      <c r="G355" s="71"/>
      <c r="Q355" s="71" t="s">
        <v>425</v>
      </c>
      <c r="R355" s="22" t="s">
        <v>195</v>
      </c>
      <c r="S355" s="71" t="s">
        <v>241</v>
      </c>
      <c r="T355" s="115">
        <v>54</v>
      </c>
      <c r="U355" s="71" t="s">
        <v>697</v>
      </c>
    </row>
    <row r="356" spans="1:21">
      <c r="A356" s="72" t="s">
        <v>239</v>
      </c>
      <c r="B356" s="72">
        <v>56000</v>
      </c>
      <c r="C356" s="71"/>
      <c r="D356" s="71"/>
      <c r="E356" s="71"/>
      <c r="F356" s="71"/>
      <c r="G356" s="71"/>
      <c r="Q356" s="71" t="s">
        <v>425</v>
      </c>
      <c r="R356" s="22" t="s">
        <v>195</v>
      </c>
      <c r="S356" s="71" t="s">
        <v>241</v>
      </c>
      <c r="T356" s="115">
        <v>45</v>
      </c>
      <c r="U356" s="71" t="s">
        <v>697</v>
      </c>
    </row>
    <row r="357" spans="1:21">
      <c r="A357" s="72" t="s">
        <v>774</v>
      </c>
      <c r="B357" s="72">
        <v>6000</v>
      </c>
      <c r="C357" s="71"/>
      <c r="D357" s="71"/>
      <c r="E357" s="71"/>
      <c r="F357" s="71"/>
      <c r="G357" s="71"/>
      <c r="Q357" s="71" t="s">
        <v>425</v>
      </c>
      <c r="R357" s="22" t="s">
        <v>195</v>
      </c>
      <c r="S357" s="71" t="s">
        <v>241</v>
      </c>
      <c r="T357" s="115">
        <v>33</v>
      </c>
      <c r="U357" s="71" t="s">
        <v>772</v>
      </c>
    </row>
    <row r="358" spans="1:21">
      <c r="A358" s="72" t="s">
        <v>246</v>
      </c>
      <c r="B358" s="72">
        <v>70000</v>
      </c>
      <c r="C358" s="71"/>
      <c r="D358" s="71"/>
      <c r="E358" s="71"/>
      <c r="F358" s="71"/>
      <c r="G358" s="71"/>
      <c r="Q358" s="71" t="s">
        <v>425</v>
      </c>
      <c r="R358" s="22" t="s">
        <v>195</v>
      </c>
      <c r="S358" s="71" t="s">
        <v>233</v>
      </c>
      <c r="T358" s="115">
        <v>22872</v>
      </c>
      <c r="U358" s="71" t="s">
        <v>775</v>
      </c>
    </row>
    <row r="359" spans="1:21">
      <c r="A359" s="72" t="s">
        <v>649</v>
      </c>
      <c r="B359" s="72">
        <v>19000</v>
      </c>
      <c r="C359" s="71"/>
      <c r="D359" s="71"/>
      <c r="E359" s="71"/>
      <c r="F359" s="71"/>
      <c r="G359" s="71"/>
      <c r="Q359" s="71" t="s">
        <v>425</v>
      </c>
      <c r="R359" s="22" t="s">
        <v>195</v>
      </c>
      <c r="S359" s="71" t="s">
        <v>233</v>
      </c>
      <c r="T359" s="115">
        <v>55447</v>
      </c>
      <c r="U359" s="71" t="s">
        <v>775</v>
      </c>
    </row>
    <row r="360" spans="1:21">
      <c r="A360" s="72" t="s">
        <v>415</v>
      </c>
      <c r="B360" s="72">
        <v>7000</v>
      </c>
      <c r="C360" s="71"/>
      <c r="D360" s="71"/>
      <c r="E360" s="71"/>
      <c r="F360" s="71"/>
      <c r="G360" s="71"/>
      <c r="Q360" s="71" t="s">
        <v>425</v>
      </c>
      <c r="R360" s="22" t="s">
        <v>195</v>
      </c>
      <c r="S360" s="71" t="s">
        <v>233</v>
      </c>
      <c r="T360" s="115">
        <v>21089</v>
      </c>
      <c r="U360" s="71" t="s">
        <v>775</v>
      </c>
    </row>
    <row r="361" spans="1:21">
      <c r="A361" s="72" t="s">
        <v>247</v>
      </c>
      <c r="B361" s="72">
        <v>7000</v>
      </c>
      <c r="C361" s="71"/>
      <c r="D361" s="71"/>
      <c r="E361" s="71"/>
      <c r="F361" s="71"/>
      <c r="G361" s="71"/>
      <c r="Q361" s="71" t="s">
        <v>425</v>
      </c>
      <c r="R361" s="22" t="s">
        <v>195</v>
      </c>
      <c r="S361" s="71" t="s">
        <v>233</v>
      </c>
      <c r="T361" s="115">
        <v>51125</v>
      </c>
      <c r="U361" s="71" t="s">
        <v>775</v>
      </c>
    </row>
    <row r="362" spans="1:21">
      <c r="A362" s="71"/>
      <c r="B362" s="71"/>
      <c r="C362" s="71"/>
      <c r="D362" s="71"/>
      <c r="E362" s="71"/>
      <c r="F362" s="71"/>
      <c r="G362" s="71"/>
      <c r="Q362" s="71" t="s">
        <v>425</v>
      </c>
      <c r="R362" s="22" t="s">
        <v>195</v>
      </c>
      <c r="S362" s="71" t="s">
        <v>233</v>
      </c>
      <c r="T362" s="115">
        <v>30133</v>
      </c>
      <c r="U362" s="71" t="s">
        <v>771</v>
      </c>
    </row>
    <row r="363" spans="1:21">
      <c r="A363" s="71" t="s">
        <v>526</v>
      </c>
      <c r="B363" s="71" t="s">
        <v>527</v>
      </c>
      <c r="C363" s="71"/>
      <c r="D363" s="71"/>
      <c r="E363" s="71"/>
      <c r="F363" s="71"/>
      <c r="G363" s="71"/>
      <c r="Q363" s="71" t="s">
        <v>425</v>
      </c>
      <c r="R363" s="22" t="s">
        <v>195</v>
      </c>
      <c r="S363" s="71" t="s">
        <v>233</v>
      </c>
      <c r="T363" s="115">
        <v>19600</v>
      </c>
      <c r="U363" s="71" t="s">
        <v>697</v>
      </c>
    </row>
    <row r="364" spans="1:21">
      <c r="A364" s="71" t="s">
        <v>528</v>
      </c>
      <c r="B364" s="71">
        <v>29375</v>
      </c>
      <c r="C364" s="71"/>
      <c r="D364" s="71"/>
      <c r="E364" s="71"/>
      <c r="F364" s="71"/>
      <c r="G364" s="71"/>
      <c r="Q364" s="71" t="s">
        <v>425</v>
      </c>
      <c r="R364" s="22" t="s">
        <v>195</v>
      </c>
      <c r="S364" s="71" t="s">
        <v>233</v>
      </c>
      <c r="T364" s="115">
        <v>30400</v>
      </c>
      <c r="U364" s="71" t="s">
        <v>697</v>
      </c>
    </row>
    <row r="365" spans="1:21">
      <c r="A365" s="71" t="s">
        <v>530</v>
      </c>
      <c r="B365" s="71">
        <v>18800</v>
      </c>
      <c r="C365" s="71"/>
      <c r="D365" s="71"/>
      <c r="E365" s="71"/>
      <c r="F365" s="71"/>
      <c r="G365" s="71"/>
      <c r="Q365" s="71" t="s">
        <v>425</v>
      </c>
      <c r="R365" s="22" t="s">
        <v>195</v>
      </c>
      <c r="S365" s="71" t="s">
        <v>233</v>
      </c>
      <c r="T365" s="115">
        <v>39590</v>
      </c>
      <c r="U365" s="71" t="s">
        <v>776</v>
      </c>
    </row>
    <row r="366" spans="1:21">
      <c r="A366" s="71"/>
      <c r="B366" s="71"/>
      <c r="C366" s="71"/>
      <c r="D366" s="71"/>
      <c r="E366" s="71"/>
      <c r="F366" s="71"/>
      <c r="G366" s="71"/>
      <c r="Q366" s="71" t="s">
        <v>425</v>
      </c>
      <c r="R366" s="22" t="s">
        <v>195</v>
      </c>
      <c r="S366" s="71" t="s">
        <v>233</v>
      </c>
      <c r="T366" s="115">
        <v>61420</v>
      </c>
      <c r="U366" s="71" t="s">
        <v>776</v>
      </c>
    </row>
    <row r="367" spans="1:21">
      <c r="A367" s="71"/>
      <c r="B367" s="71" t="s">
        <v>531</v>
      </c>
      <c r="C367" s="71" t="s">
        <v>532</v>
      </c>
      <c r="D367" s="71"/>
      <c r="E367" s="71"/>
      <c r="F367" s="71"/>
      <c r="G367" s="71"/>
      <c r="Q367" s="71" t="s">
        <v>425</v>
      </c>
      <c r="R367" s="22" t="s">
        <v>195</v>
      </c>
      <c r="S367" s="71" t="s">
        <v>240</v>
      </c>
      <c r="T367" s="115">
        <v>1345</v>
      </c>
      <c r="U367" s="71" t="s">
        <v>529</v>
      </c>
    </row>
    <row r="368" spans="1:21">
      <c r="A368" s="71" t="s">
        <v>534</v>
      </c>
      <c r="B368" s="71">
        <v>4846875</v>
      </c>
      <c r="C368" s="71">
        <v>4846.875</v>
      </c>
      <c r="D368" s="71"/>
      <c r="E368" s="71"/>
      <c r="F368" s="71"/>
      <c r="G368" s="71"/>
      <c r="Q368" s="71" t="s">
        <v>425</v>
      </c>
      <c r="R368" s="22" t="s">
        <v>195</v>
      </c>
      <c r="S368" s="71" t="s">
        <v>240</v>
      </c>
      <c r="T368" s="115">
        <v>726</v>
      </c>
      <c r="U368" s="71" t="s">
        <v>771</v>
      </c>
    </row>
    <row r="369" spans="1:21">
      <c r="A369" s="71" t="s">
        <v>536</v>
      </c>
      <c r="B369" s="71">
        <v>7520000</v>
      </c>
      <c r="C369" s="71">
        <v>7520</v>
      </c>
      <c r="D369" s="71"/>
      <c r="E369" s="71"/>
      <c r="F369" s="71"/>
      <c r="G369" s="71"/>
      <c r="Q369" s="71" t="s">
        <v>425</v>
      </c>
      <c r="R369" s="22" t="s">
        <v>195</v>
      </c>
      <c r="S369" s="71" t="s">
        <v>240</v>
      </c>
      <c r="T369" s="115">
        <v>907</v>
      </c>
      <c r="U369" s="71" t="s">
        <v>697</v>
      </c>
    </row>
    <row r="370" spans="1:21">
      <c r="A370" s="71"/>
      <c r="B370" s="71"/>
      <c r="C370" s="71"/>
      <c r="D370" s="71"/>
      <c r="E370" s="71"/>
      <c r="F370" s="71"/>
      <c r="G370" s="71"/>
      <c r="Q370" s="71" t="s">
        <v>425</v>
      </c>
      <c r="R370" s="22" t="s">
        <v>195</v>
      </c>
      <c r="S370" s="71" t="s">
        <v>240</v>
      </c>
      <c r="T370" s="115">
        <v>2000</v>
      </c>
      <c r="U370" s="71" t="s">
        <v>697</v>
      </c>
    </row>
    <row r="371" spans="1:21" ht="15.5">
      <c r="A371" s="74" t="s">
        <v>777</v>
      </c>
      <c r="B371" s="141"/>
      <c r="C371" s="141"/>
      <c r="D371" s="141"/>
      <c r="E371" s="141"/>
      <c r="F371" s="141"/>
      <c r="G371" s="141"/>
      <c r="Q371" s="71" t="s">
        <v>425</v>
      </c>
      <c r="R371" s="22" t="s">
        <v>195</v>
      </c>
      <c r="S371" s="71" t="s">
        <v>240</v>
      </c>
      <c r="T371" s="115">
        <v>1481</v>
      </c>
      <c r="U371" s="71" t="s">
        <v>772</v>
      </c>
    </row>
    <row r="372" spans="1:21" ht="15.5">
      <c r="A372" s="74" t="s">
        <v>778</v>
      </c>
      <c r="B372" s="141"/>
      <c r="C372" s="141"/>
      <c r="D372" s="141"/>
      <c r="E372" s="141"/>
      <c r="F372" s="141"/>
      <c r="G372" s="141"/>
      <c r="Q372" s="71" t="s">
        <v>425</v>
      </c>
      <c r="R372" s="22" t="s">
        <v>195</v>
      </c>
      <c r="S372" s="71" t="s">
        <v>249</v>
      </c>
      <c r="T372" s="115">
        <v>467</v>
      </c>
      <c r="U372" s="71" t="s">
        <v>771</v>
      </c>
    </row>
    <row r="373" spans="1:21" ht="15.5">
      <c r="A373" s="74" t="s">
        <v>779</v>
      </c>
      <c r="B373" s="141"/>
      <c r="C373" s="141"/>
      <c r="D373" s="141"/>
      <c r="E373" s="141"/>
      <c r="F373" s="141"/>
      <c r="G373" s="141"/>
      <c r="Q373" s="71" t="s">
        <v>425</v>
      </c>
      <c r="R373" s="22" t="s">
        <v>195</v>
      </c>
      <c r="S373" s="71" t="s">
        <v>249</v>
      </c>
      <c r="T373" s="115">
        <v>209</v>
      </c>
      <c r="U373" s="71" t="s">
        <v>697</v>
      </c>
    </row>
    <row r="374" spans="1:21" ht="15.5">
      <c r="A374" s="80" t="s">
        <v>780</v>
      </c>
      <c r="B374" s="74"/>
      <c r="C374" s="74"/>
      <c r="D374" s="74"/>
      <c r="E374" s="74"/>
      <c r="F374" s="74"/>
      <c r="G374" s="74"/>
      <c r="Q374" s="71" t="s">
        <v>425</v>
      </c>
      <c r="R374" s="22" t="s">
        <v>195</v>
      </c>
      <c r="S374" s="71" t="s">
        <v>249</v>
      </c>
      <c r="T374" s="115">
        <v>400</v>
      </c>
      <c r="U374" s="71" t="s">
        <v>697</v>
      </c>
    </row>
    <row r="375" spans="1:21">
      <c r="A375" s="72" t="s">
        <v>781</v>
      </c>
      <c r="B375" s="71"/>
      <c r="C375" s="71"/>
      <c r="D375" s="71"/>
      <c r="E375" s="71"/>
      <c r="F375" s="71"/>
      <c r="G375" s="71"/>
      <c r="Q375" s="71" t="s">
        <v>425</v>
      </c>
      <c r="R375" s="22" t="s">
        <v>195</v>
      </c>
      <c r="S375" s="71" t="s">
        <v>249</v>
      </c>
      <c r="T375" s="115">
        <v>296</v>
      </c>
      <c r="U375" s="71" t="s">
        <v>772</v>
      </c>
    </row>
    <row r="376" spans="1:21">
      <c r="A376" s="71" t="s">
        <v>782</v>
      </c>
      <c r="B376" s="71"/>
      <c r="C376" s="71"/>
      <c r="D376" s="71"/>
      <c r="E376" s="71"/>
      <c r="F376" s="71"/>
      <c r="G376" s="71"/>
      <c r="Q376" s="71" t="s">
        <v>425</v>
      </c>
      <c r="R376" s="22" t="s">
        <v>195</v>
      </c>
      <c r="S376" s="71" t="s">
        <v>250</v>
      </c>
      <c r="T376" s="115">
        <v>300</v>
      </c>
      <c r="U376" s="71" t="s">
        <v>529</v>
      </c>
    </row>
    <row r="377" spans="1:21">
      <c r="A377" s="71"/>
      <c r="B377" s="71"/>
      <c r="C377" s="71"/>
      <c r="D377" s="71"/>
      <c r="E377" s="71"/>
      <c r="F377" s="71"/>
      <c r="G377" s="71"/>
      <c r="Q377" s="71" t="s">
        <v>425</v>
      </c>
      <c r="R377" s="22" t="s">
        <v>195</v>
      </c>
      <c r="S377" s="71" t="s">
        <v>250</v>
      </c>
      <c r="T377" s="115">
        <v>484</v>
      </c>
      <c r="U377" s="71" t="s">
        <v>771</v>
      </c>
    </row>
    <row r="378" spans="1:21" ht="15.5">
      <c r="A378" s="74" t="s">
        <v>589</v>
      </c>
      <c r="B378" s="74"/>
      <c r="C378" s="74"/>
      <c r="D378" s="74"/>
      <c r="E378" s="74"/>
      <c r="F378" s="74"/>
      <c r="G378" s="74"/>
      <c r="Q378" s="71" t="s">
        <v>425</v>
      </c>
      <c r="R378" s="22" t="s">
        <v>195</v>
      </c>
      <c r="S378" s="71" t="s">
        <v>250</v>
      </c>
      <c r="T378" s="115">
        <v>49</v>
      </c>
      <c r="U378" s="71" t="s">
        <v>697</v>
      </c>
    </row>
    <row r="379" spans="1:21" ht="15.5">
      <c r="A379" s="80" t="s">
        <v>763</v>
      </c>
      <c r="B379" s="74"/>
      <c r="C379" s="74"/>
      <c r="D379" s="74"/>
      <c r="E379" s="74"/>
      <c r="F379" s="74"/>
      <c r="G379" s="74"/>
      <c r="Q379" s="71" t="s">
        <v>425</v>
      </c>
      <c r="R379" s="22" t="s">
        <v>195</v>
      </c>
      <c r="S379" s="71" t="s">
        <v>250</v>
      </c>
      <c r="T379" s="115">
        <v>100</v>
      </c>
      <c r="U379" s="71" t="s">
        <v>697</v>
      </c>
    </row>
    <row r="380" spans="1:21">
      <c r="A380" s="71"/>
      <c r="B380" s="71"/>
      <c r="C380" s="71"/>
      <c r="D380" s="71"/>
      <c r="E380" s="71"/>
      <c r="F380" s="71"/>
      <c r="G380" s="71"/>
      <c r="Q380" s="71" t="s">
        <v>425</v>
      </c>
      <c r="R380" s="22" t="s">
        <v>195</v>
      </c>
      <c r="S380" s="71" t="s">
        <v>250</v>
      </c>
      <c r="T380" s="115">
        <v>74</v>
      </c>
      <c r="U380" s="71" t="s">
        <v>772</v>
      </c>
    </row>
    <row r="381" spans="1:21">
      <c r="A381" s="71" t="s">
        <v>783</v>
      </c>
      <c r="B381" s="71"/>
      <c r="C381" s="71"/>
      <c r="D381" s="71"/>
      <c r="E381" s="71"/>
      <c r="F381" s="71"/>
      <c r="G381" s="71"/>
      <c r="Q381" s="71" t="s">
        <v>425</v>
      </c>
      <c r="R381" s="22" t="s">
        <v>195</v>
      </c>
      <c r="S381" s="71" t="s">
        <v>239</v>
      </c>
      <c r="T381" s="115">
        <v>44821</v>
      </c>
      <c r="U381" s="71" t="s">
        <v>775</v>
      </c>
    </row>
    <row r="382" spans="1:21">
      <c r="A382" s="71"/>
      <c r="B382" s="71" t="s">
        <v>784</v>
      </c>
      <c r="C382" s="71" t="s">
        <v>516</v>
      </c>
      <c r="D382" s="71"/>
      <c r="E382" s="71"/>
      <c r="F382" s="71"/>
      <c r="G382" s="71"/>
      <c r="Q382" s="71" t="s">
        <v>425</v>
      </c>
      <c r="R382" s="22" t="s">
        <v>195</v>
      </c>
      <c r="S382" s="71" t="s">
        <v>239</v>
      </c>
      <c r="T382" s="115">
        <v>43206</v>
      </c>
      <c r="U382" s="71" t="s">
        <v>775</v>
      </c>
    </row>
    <row r="383" spans="1:21">
      <c r="A383" s="71" t="s">
        <v>246</v>
      </c>
      <c r="B383" s="71">
        <v>195</v>
      </c>
      <c r="C383" s="71">
        <v>51282.05128</v>
      </c>
      <c r="D383" s="71"/>
      <c r="E383" s="71"/>
      <c r="F383" s="71"/>
      <c r="G383" s="71"/>
      <c r="Q383" s="71" t="s">
        <v>425</v>
      </c>
      <c r="R383" s="22" t="s">
        <v>195</v>
      </c>
      <c r="S383" s="71" t="s">
        <v>239</v>
      </c>
      <c r="T383" s="115">
        <v>36068</v>
      </c>
      <c r="U383" s="71" t="s">
        <v>771</v>
      </c>
    </row>
    <row r="384" spans="1:21" ht="16.5">
      <c r="A384" s="71" t="s">
        <v>246</v>
      </c>
      <c r="B384" s="71">
        <v>180</v>
      </c>
      <c r="C384" s="87">
        <v>55555.555560000001</v>
      </c>
      <c r="D384" s="71"/>
      <c r="E384" s="71"/>
      <c r="F384" s="71"/>
      <c r="G384" s="71"/>
      <c r="Q384" s="71" t="s">
        <v>425</v>
      </c>
      <c r="R384" s="22" t="s">
        <v>195</v>
      </c>
      <c r="S384" s="71" t="s">
        <v>239</v>
      </c>
      <c r="T384" s="115">
        <v>10000</v>
      </c>
      <c r="U384" s="71" t="s">
        <v>697</v>
      </c>
    </row>
    <row r="385" spans="1:21">
      <c r="A385" s="71" t="s">
        <v>785</v>
      </c>
      <c r="B385" s="71"/>
      <c r="C385" s="72">
        <v>53418.803419999997</v>
      </c>
      <c r="D385" s="71"/>
      <c r="E385" s="71"/>
      <c r="F385" s="71"/>
      <c r="G385" s="71"/>
      <c r="Q385" s="71" t="s">
        <v>425</v>
      </c>
      <c r="R385" s="22" t="s">
        <v>195</v>
      </c>
      <c r="S385" s="71" t="s">
        <v>239</v>
      </c>
      <c r="T385" s="115">
        <v>7407</v>
      </c>
      <c r="U385" s="71" t="s">
        <v>772</v>
      </c>
    </row>
    <row r="386" spans="1:21">
      <c r="A386" s="71"/>
      <c r="B386" s="71"/>
      <c r="C386" s="71"/>
      <c r="D386" s="71"/>
      <c r="E386" s="71"/>
      <c r="F386" s="71"/>
      <c r="G386" s="71"/>
      <c r="Q386" s="71" t="s">
        <v>425</v>
      </c>
      <c r="R386" s="22" t="s">
        <v>195</v>
      </c>
      <c r="S386" s="71" t="s">
        <v>239</v>
      </c>
      <c r="T386" s="115">
        <v>50400</v>
      </c>
      <c r="U386" s="71" t="s">
        <v>776</v>
      </c>
    </row>
    <row r="387" spans="1:21">
      <c r="A387" s="71"/>
      <c r="B387" s="71"/>
      <c r="C387" s="71"/>
      <c r="D387" s="71"/>
      <c r="E387" s="71"/>
      <c r="F387" s="71"/>
      <c r="G387" s="71"/>
      <c r="Q387" s="71" t="s">
        <v>423</v>
      </c>
      <c r="R387" s="22" t="s">
        <v>251</v>
      </c>
      <c r="S387" s="71" t="s">
        <v>241</v>
      </c>
      <c r="T387" s="115">
        <v>52</v>
      </c>
      <c r="U387" s="71" t="s">
        <v>786</v>
      </c>
    </row>
    <row r="388" spans="1:21" ht="15.5">
      <c r="A388" s="74" t="s">
        <v>787</v>
      </c>
      <c r="B388" s="74"/>
      <c r="C388" s="74"/>
      <c r="D388" s="74"/>
      <c r="E388" s="74"/>
      <c r="F388" s="74"/>
      <c r="G388" s="74"/>
      <c r="Q388" s="71" t="s">
        <v>423</v>
      </c>
      <c r="R388" s="22" t="s">
        <v>251</v>
      </c>
      <c r="S388" s="71" t="s">
        <v>233</v>
      </c>
      <c r="T388" s="115">
        <v>1086216</v>
      </c>
      <c r="U388" s="71" t="s">
        <v>788</v>
      </c>
    </row>
    <row r="389" spans="1:21" ht="15.5">
      <c r="A389" s="80" t="s">
        <v>789</v>
      </c>
      <c r="B389" s="74"/>
      <c r="C389" s="74"/>
      <c r="D389" s="74"/>
      <c r="E389" s="74"/>
      <c r="F389" s="74"/>
      <c r="G389" s="74"/>
      <c r="Q389" s="71" t="s">
        <v>423</v>
      </c>
      <c r="R389" s="22" t="s">
        <v>251</v>
      </c>
      <c r="S389" s="71" t="s">
        <v>233</v>
      </c>
      <c r="T389" s="115">
        <v>594619</v>
      </c>
      <c r="U389" s="71" t="s">
        <v>788</v>
      </c>
    </row>
    <row r="390" spans="1:21">
      <c r="A390" s="71" t="s">
        <v>790</v>
      </c>
      <c r="B390" s="71" t="s">
        <v>791</v>
      </c>
      <c r="C390" s="71" t="s">
        <v>792</v>
      </c>
      <c r="D390" s="71" t="s">
        <v>784</v>
      </c>
      <c r="E390" s="71" t="s">
        <v>793</v>
      </c>
      <c r="F390" s="71" t="s">
        <v>516</v>
      </c>
      <c r="G390" s="71"/>
      <c r="Q390" s="71" t="s">
        <v>423</v>
      </c>
      <c r="R390" s="22" t="s">
        <v>251</v>
      </c>
      <c r="S390" s="71" t="s">
        <v>233</v>
      </c>
      <c r="T390" s="115">
        <v>922560</v>
      </c>
      <c r="U390" s="71" t="s">
        <v>788</v>
      </c>
    </row>
    <row r="391" spans="1:21">
      <c r="A391" s="71" t="s">
        <v>794</v>
      </c>
      <c r="B391" s="71">
        <v>5.2</v>
      </c>
      <c r="C391" s="71" t="s">
        <v>795</v>
      </c>
      <c r="D391" s="71">
        <v>195</v>
      </c>
      <c r="E391" s="71">
        <v>2.93</v>
      </c>
      <c r="F391" s="72">
        <v>2930</v>
      </c>
      <c r="G391" s="71"/>
      <c r="Q391" s="71" t="s">
        <v>423</v>
      </c>
      <c r="R391" s="22" t="s">
        <v>251</v>
      </c>
      <c r="S391" s="71" t="s">
        <v>233</v>
      </c>
      <c r="T391" s="115">
        <v>1685280</v>
      </c>
      <c r="U391" s="71" t="s">
        <v>788</v>
      </c>
    </row>
    <row r="392" spans="1:21">
      <c r="A392" s="71" t="s">
        <v>796</v>
      </c>
      <c r="B392" s="71">
        <v>5.6</v>
      </c>
      <c r="C392" s="71" t="s">
        <v>797</v>
      </c>
      <c r="D392" s="71">
        <v>180</v>
      </c>
      <c r="E392" s="71">
        <v>3.45</v>
      </c>
      <c r="F392" s="72">
        <v>3450</v>
      </c>
      <c r="G392" s="71"/>
      <c r="Q392" s="71" t="s">
        <v>423</v>
      </c>
      <c r="R392" s="22" t="s">
        <v>251</v>
      </c>
      <c r="S392" s="71" t="s">
        <v>233</v>
      </c>
      <c r="T392" s="115">
        <v>1223040</v>
      </c>
      <c r="U392" s="71" t="s">
        <v>786</v>
      </c>
    </row>
    <row r="393" spans="1:21">
      <c r="Q393" s="71" t="s">
        <v>423</v>
      </c>
      <c r="R393" s="22" t="s">
        <v>251</v>
      </c>
      <c r="S393" s="71" t="s">
        <v>233</v>
      </c>
      <c r="T393" s="115">
        <v>788288</v>
      </c>
      <c r="U393" s="71" t="s">
        <v>786</v>
      </c>
    </row>
    <row r="394" spans="1:21">
      <c r="Q394" s="71" t="s">
        <v>423</v>
      </c>
      <c r="R394" s="22" t="s">
        <v>251</v>
      </c>
      <c r="S394" s="71" t="s">
        <v>233</v>
      </c>
      <c r="T394" s="115">
        <v>1068800</v>
      </c>
      <c r="U394" s="71" t="s">
        <v>798</v>
      </c>
    </row>
    <row r="395" spans="1:21" s="88" customFormat="1">
      <c r="A395" s="89" t="s">
        <v>799</v>
      </c>
      <c r="Q395" s="71" t="s">
        <v>423</v>
      </c>
      <c r="R395" s="22" t="s">
        <v>251</v>
      </c>
      <c r="S395" s="71" t="s">
        <v>233</v>
      </c>
      <c r="T395" s="115">
        <v>688875</v>
      </c>
      <c r="U395" s="71" t="s">
        <v>798</v>
      </c>
    </row>
    <row r="396" spans="1:21" ht="15.5">
      <c r="A396" s="74" t="s">
        <v>800</v>
      </c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Q396" s="71" t="s">
        <v>423</v>
      </c>
      <c r="R396" s="22" t="s">
        <v>251</v>
      </c>
      <c r="S396" s="71" t="s">
        <v>240</v>
      </c>
      <c r="T396" s="115">
        <v>2970</v>
      </c>
      <c r="U396" s="71" t="s">
        <v>788</v>
      </c>
    </row>
    <row r="397" spans="1:21">
      <c r="A397" s="71" t="s">
        <v>801</v>
      </c>
      <c r="B397" s="71"/>
      <c r="C397" s="71"/>
      <c r="D397" s="71"/>
      <c r="E397" s="71" t="s">
        <v>802</v>
      </c>
      <c r="F397" s="71"/>
      <c r="G397" s="71"/>
      <c r="H397" s="71" t="s">
        <v>803</v>
      </c>
      <c r="I397" s="71">
        <v>1000000</v>
      </c>
      <c r="J397" s="71"/>
      <c r="K397" s="71"/>
      <c r="L397" s="71"/>
      <c r="M397" s="71"/>
      <c r="N397" s="71"/>
      <c r="O397" s="71"/>
      <c r="Q397" s="71" t="s">
        <v>423</v>
      </c>
      <c r="R397" s="22" t="s">
        <v>251</v>
      </c>
      <c r="S397" s="71" t="s">
        <v>240</v>
      </c>
      <c r="T397" s="115">
        <v>1502</v>
      </c>
      <c r="U397" s="71" t="s">
        <v>798</v>
      </c>
    </row>
    <row r="398" spans="1:21">
      <c r="A398" s="69" t="s">
        <v>804</v>
      </c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Q398" s="71" t="s">
        <v>423</v>
      </c>
      <c r="R398" s="22" t="s">
        <v>251</v>
      </c>
      <c r="S398" s="71" t="s">
        <v>240</v>
      </c>
      <c r="T398" s="115">
        <v>1050</v>
      </c>
      <c r="U398" s="71" t="s">
        <v>529</v>
      </c>
    </row>
    <row r="399" spans="1:21">
      <c r="A399" s="71" t="s">
        <v>805</v>
      </c>
      <c r="B399" s="71" t="s">
        <v>806</v>
      </c>
      <c r="C399" s="71" t="s">
        <v>807</v>
      </c>
      <c r="D399" s="71"/>
      <c r="E399" s="71" t="s">
        <v>808</v>
      </c>
      <c r="F399" s="71" t="s">
        <v>809</v>
      </c>
      <c r="G399" s="71"/>
      <c r="H399" s="71" t="s">
        <v>810</v>
      </c>
      <c r="I399" s="90">
        <v>9.9999999999999995E-7</v>
      </c>
      <c r="J399" s="71"/>
      <c r="K399" s="71"/>
      <c r="L399" s="71"/>
      <c r="M399" s="71"/>
      <c r="N399" s="71"/>
      <c r="O399" s="71"/>
      <c r="Q399" s="71" t="s">
        <v>423</v>
      </c>
      <c r="R399" s="22" t="s">
        <v>251</v>
      </c>
      <c r="S399" s="71" t="s">
        <v>240</v>
      </c>
      <c r="T399" s="115">
        <v>2970</v>
      </c>
      <c r="U399" s="71" t="s">
        <v>788</v>
      </c>
    </row>
    <row r="400" spans="1:21">
      <c r="A400" s="71" t="s">
        <v>413</v>
      </c>
      <c r="B400" s="91">
        <v>10533000</v>
      </c>
      <c r="C400" s="91">
        <v>5766000</v>
      </c>
      <c r="D400" s="71"/>
      <c r="E400" s="71">
        <v>35.11</v>
      </c>
      <c r="F400" s="71">
        <v>19.22</v>
      </c>
      <c r="G400" s="71"/>
      <c r="H400" s="71" t="s">
        <v>811</v>
      </c>
      <c r="I400" s="71" t="s">
        <v>812</v>
      </c>
      <c r="J400" s="71"/>
      <c r="K400" s="71"/>
      <c r="L400" s="71"/>
      <c r="M400" s="71"/>
      <c r="N400" s="71"/>
      <c r="O400" s="71"/>
      <c r="Q400" s="71" t="s">
        <v>423</v>
      </c>
      <c r="R400" s="22" t="s">
        <v>251</v>
      </c>
      <c r="S400" s="71" t="s">
        <v>239</v>
      </c>
      <c r="T400" s="115">
        <v>78000</v>
      </c>
      <c r="U400" s="71" t="s">
        <v>788</v>
      </c>
    </row>
    <row r="401" spans="1:21" ht="15.5">
      <c r="A401" s="71" t="s">
        <v>744</v>
      </c>
      <c r="B401" s="92">
        <v>78000</v>
      </c>
      <c r="C401" s="92">
        <v>177000</v>
      </c>
      <c r="D401" s="71"/>
      <c r="E401" s="71">
        <v>0.26</v>
      </c>
      <c r="F401" s="71">
        <v>0.59</v>
      </c>
      <c r="G401" s="71"/>
      <c r="H401" s="71" t="s">
        <v>813</v>
      </c>
      <c r="I401" s="71" t="s">
        <v>814</v>
      </c>
      <c r="J401" s="71"/>
      <c r="K401" s="71"/>
      <c r="L401" s="71"/>
      <c r="M401" s="71"/>
      <c r="N401" s="71"/>
      <c r="O401" s="71"/>
      <c r="Q401" s="71" t="s">
        <v>423</v>
      </c>
      <c r="R401" s="22" t="s">
        <v>251</v>
      </c>
      <c r="S401" s="71" t="s">
        <v>239</v>
      </c>
      <c r="T401" s="115">
        <v>24800</v>
      </c>
      <c r="U401" s="71" t="s">
        <v>786</v>
      </c>
    </row>
    <row r="402" spans="1:21" ht="15.5">
      <c r="A402" s="71" t="s">
        <v>815</v>
      </c>
      <c r="B402" s="92">
        <v>2970</v>
      </c>
      <c r="C402" s="92">
        <v>2970</v>
      </c>
      <c r="D402" s="71"/>
      <c r="E402" s="71">
        <v>9.9000000000000008E-3</v>
      </c>
      <c r="F402" s="71">
        <v>9.9000000000000008E-3</v>
      </c>
      <c r="G402" s="71"/>
      <c r="H402" s="71" t="s">
        <v>816</v>
      </c>
      <c r="I402" s="71" t="s">
        <v>817</v>
      </c>
      <c r="J402" s="71"/>
      <c r="K402" s="71"/>
      <c r="L402" s="71"/>
      <c r="M402" s="71"/>
      <c r="N402" s="71"/>
      <c r="O402" s="71"/>
      <c r="Q402" s="71" t="s">
        <v>423</v>
      </c>
      <c r="R402" s="22" t="s">
        <v>251</v>
      </c>
      <c r="S402" s="71" t="s">
        <v>239</v>
      </c>
      <c r="T402" s="115">
        <v>54500</v>
      </c>
      <c r="U402" s="71" t="s">
        <v>798</v>
      </c>
    </row>
    <row r="403" spans="1:2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Q403" s="71" t="s">
        <v>423</v>
      </c>
      <c r="R403" s="22" t="s">
        <v>251</v>
      </c>
      <c r="S403" s="71" t="s">
        <v>239</v>
      </c>
      <c r="T403" s="115">
        <v>177000</v>
      </c>
      <c r="U403" s="71" t="s">
        <v>788</v>
      </c>
    </row>
    <row r="404" spans="1:21">
      <c r="A404" s="71"/>
      <c r="B404" s="71" t="s">
        <v>583</v>
      </c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Q404" s="71" t="s">
        <v>818</v>
      </c>
      <c r="R404" s="22" t="s">
        <v>142</v>
      </c>
      <c r="S404" s="71" t="s">
        <v>241</v>
      </c>
      <c r="T404" s="115">
        <v>2386</v>
      </c>
      <c r="U404" s="71" t="s">
        <v>819</v>
      </c>
    </row>
    <row r="405" spans="1:21">
      <c r="A405" s="71" t="s">
        <v>526</v>
      </c>
      <c r="B405" s="71" t="s">
        <v>806</v>
      </c>
      <c r="C405" s="71" t="s">
        <v>809</v>
      </c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Q405" s="71" t="s">
        <v>818</v>
      </c>
      <c r="R405" s="22" t="s">
        <v>142</v>
      </c>
      <c r="S405" s="71" t="s">
        <v>241</v>
      </c>
      <c r="T405" s="115">
        <v>1600</v>
      </c>
      <c r="U405" s="71" t="s">
        <v>710</v>
      </c>
    </row>
    <row r="406" spans="1:21">
      <c r="A406" s="71" t="s">
        <v>528</v>
      </c>
      <c r="B406" s="71">
        <v>6583125</v>
      </c>
      <c r="C406" s="71">
        <v>3603750</v>
      </c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Q406" s="71" t="s">
        <v>818</v>
      </c>
      <c r="R406" s="22" t="s">
        <v>142</v>
      </c>
      <c r="S406" s="71" t="s">
        <v>241</v>
      </c>
      <c r="T406" s="115">
        <v>45200</v>
      </c>
      <c r="U406" s="71" t="s">
        <v>710</v>
      </c>
    </row>
    <row r="407" spans="1:21">
      <c r="A407" s="71" t="s">
        <v>530</v>
      </c>
      <c r="B407" s="71">
        <v>4213200</v>
      </c>
      <c r="C407" s="71">
        <v>2306400</v>
      </c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Q407" s="71" t="s">
        <v>818</v>
      </c>
      <c r="R407" s="22" t="s">
        <v>142</v>
      </c>
      <c r="S407" s="71" t="s">
        <v>241</v>
      </c>
      <c r="T407" s="115">
        <v>42600</v>
      </c>
      <c r="U407" s="71" t="s">
        <v>710</v>
      </c>
    </row>
    <row r="408" spans="1:21">
      <c r="A408" s="71"/>
      <c r="B408" s="71" t="s">
        <v>820</v>
      </c>
      <c r="C408" s="71"/>
      <c r="D408" s="71" t="s">
        <v>821</v>
      </c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Q408" s="71" t="s">
        <v>818</v>
      </c>
      <c r="R408" s="22" t="s">
        <v>142</v>
      </c>
      <c r="S408" s="71" t="s">
        <v>241</v>
      </c>
      <c r="T408" s="115">
        <v>10198</v>
      </c>
      <c r="U408" s="71" t="s">
        <v>822</v>
      </c>
    </row>
    <row r="409" spans="1:21">
      <c r="A409" s="71"/>
      <c r="B409" s="71" t="s">
        <v>806</v>
      </c>
      <c r="C409" s="71" t="s">
        <v>809</v>
      </c>
      <c r="D409" s="71" t="s">
        <v>806</v>
      </c>
      <c r="E409" s="71" t="s">
        <v>809</v>
      </c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Q409" s="71" t="s">
        <v>818</v>
      </c>
      <c r="R409" s="22" t="s">
        <v>142</v>
      </c>
      <c r="S409" s="71" t="s">
        <v>241</v>
      </c>
      <c r="T409" s="115">
        <v>1448</v>
      </c>
      <c r="U409" s="71" t="s">
        <v>823</v>
      </c>
    </row>
    <row r="410" spans="1:21">
      <c r="A410" s="71" t="s">
        <v>534</v>
      </c>
      <c r="B410" s="71">
        <v>1086215625</v>
      </c>
      <c r="C410" s="71">
        <v>594618750</v>
      </c>
      <c r="D410" s="72">
        <v>1086215.625</v>
      </c>
      <c r="E410" s="72">
        <v>594618.75</v>
      </c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Q410" s="71" t="s">
        <v>818</v>
      </c>
      <c r="R410" s="22" t="s">
        <v>142</v>
      </c>
      <c r="S410" s="71" t="s">
        <v>241</v>
      </c>
      <c r="T410" s="115">
        <v>9729</v>
      </c>
      <c r="U410" s="71" t="s">
        <v>824</v>
      </c>
    </row>
    <row r="411" spans="1:21">
      <c r="A411" s="71" t="s">
        <v>536</v>
      </c>
      <c r="B411" s="71">
        <v>1685280000</v>
      </c>
      <c r="C411" s="71">
        <v>922560000</v>
      </c>
      <c r="D411" s="72">
        <v>1685280</v>
      </c>
      <c r="E411" s="72">
        <v>922560</v>
      </c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Q411" s="71" t="s">
        <v>818</v>
      </c>
      <c r="R411" s="22" t="s">
        <v>142</v>
      </c>
      <c r="S411" s="71" t="s">
        <v>233</v>
      </c>
      <c r="T411" s="115">
        <v>232000</v>
      </c>
      <c r="U411" s="71" t="s">
        <v>710</v>
      </c>
    </row>
    <row r="412" spans="1:2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Q412" s="71" t="s">
        <v>818</v>
      </c>
      <c r="R412" s="22" t="s">
        <v>142</v>
      </c>
      <c r="S412" s="71" t="s">
        <v>233</v>
      </c>
      <c r="T412" s="115">
        <v>76061</v>
      </c>
      <c r="U412" s="71" t="s">
        <v>819</v>
      </c>
    </row>
    <row r="413" spans="1:2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Q413" s="71" t="s">
        <v>818</v>
      </c>
      <c r="R413" s="22" t="s">
        <v>142</v>
      </c>
      <c r="S413" s="71" t="s">
        <v>233</v>
      </c>
      <c r="T413" s="115">
        <v>87400</v>
      </c>
      <c r="U413" s="71" t="s">
        <v>710</v>
      </c>
    </row>
    <row r="414" spans="1:21" ht="15.5">
      <c r="A414" s="74" t="s">
        <v>825</v>
      </c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Q414" s="71" t="s">
        <v>818</v>
      </c>
      <c r="R414" s="22" t="s">
        <v>142</v>
      </c>
      <c r="S414" s="71" t="s">
        <v>233</v>
      </c>
      <c r="T414" s="115">
        <v>988000</v>
      </c>
      <c r="U414" s="71" t="s">
        <v>710</v>
      </c>
    </row>
    <row r="415" spans="1:21">
      <c r="A415" s="69" t="s">
        <v>749</v>
      </c>
      <c r="B415" s="71" t="s">
        <v>753</v>
      </c>
      <c r="C415" s="71" t="s">
        <v>826</v>
      </c>
      <c r="D415" s="71" t="s">
        <v>798</v>
      </c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Q415" s="71" t="s">
        <v>818</v>
      </c>
      <c r="R415" s="22" t="s">
        <v>142</v>
      </c>
      <c r="S415" s="71" t="s">
        <v>233</v>
      </c>
      <c r="T415" s="115">
        <v>987000</v>
      </c>
      <c r="U415" s="71" t="s">
        <v>710</v>
      </c>
    </row>
    <row r="416" spans="1:21" ht="15.5">
      <c r="A416" s="71" t="s">
        <v>241</v>
      </c>
      <c r="B416" s="93">
        <v>52</v>
      </c>
      <c r="C416" s="71" t="s">
        <v>827</v>
      </c>
      <c r="D416" s="71" t="s">
        <v>827</v>
      </c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Q416" s="71" t="s">
        <v>818</v>
      </c>
      <c r="R416" s="22" t="s">
        <v>142</v>
      </c>
      <c r="S416" s="71" t="s">
        <v>233</v>
      </c>
      <c r="T416" s="115">
        <v>311984</v>
      </c>
      <c r="U416" s="71" t="s">
        <v>822</v>
      </c>
    </row>
    <row r="417" spans="1:21">
      <c r="A417" s="71" t="s">
        <v>413</v>
      </c>
      <c r="B417" s="91">
        <v>7644000</v>
      </c>
      <c r="C417" s="91">
        <v>552000</v>
      </c>
      <c r="D417" s="91">
        <v>6680000</v>
      </c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Q417" s="71" t="s">
        <v>818</v>
      </c>
      <c r="R417" s="22" t="s">
        <v>142</v>
      </c>
      <c r="S417" s="71" t="s">
        <v>233</v>
      </c>
      <c r="T417" s="115">
        <v>271666</v>
      </c>
      <c r="U417" s="71" t="s">
        <v>823</v>
      </c>
    </row>
    <row r="418" spans="1:21" ht="15.5">
      <c r="A418" s="71" t="s">
        <v>240</v>
      </c>
      <c r="B418" s="94" t="s">
        <v>828</v>
      </c>
      <c r="C418" s="71" t="s">
        <v>827</v>
      </c>
      <c r="D418" s="92">
        <v>1502</v>
      </c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Q418" s="71" t="s">
        <v>818</v>
      </c>
      <c r="R418" s="22" t="s">
        <v>142</v>
      </c>
      <c r="S418" s="71" t="s">
        <v>233</v>
      </c>
      <c r="T418" s="115">
        <v>196486</v>
      </c>
      <c r="U418" s="71" t="s">
        <v>824</v>
      </c>
    </row>
    <row r="419" spans="1:21" ht="15.5">
      <c r="A419" s="71" t="s">
        <v>239</v>
      </c>
      <c r="B419" s="92">
        <v>24800</v>
      </c>
      <c r="C419" s="71" t="s">
        <v>827</v>
      </c>
      <c r="D419" s="92">
        <v>54500</v>
      </c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Q419" s="71" t="s">
        <v>818</v>
      </c>
      <c r="R419" s="22" t="s">
        <v>142</v>
      </c>
      <c r="S419" s="71" t="s">
        <v>240</v>
      </c>
      <c r="T419" s="115">
        <v>597</v>
      </c>
      <c r="U419" s="71" t="s">
        <v>819</v>
      </c>
    </row>
    <row r="420" spans="1:2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Q420" s="71" t="s">
        <v>818</v>
      </c>
      <c r="R420" s="22" t="s">
        <v>142</v>
      </c>
      <c r="S420" s="71" t="s">
        <v>240</v>
      </c>
      <c r="T420" s="115">
        <v>18885</v>
      </c>
      <c r="U420" s="71" t="s">
        <v>822</v>
      </c>
    </row>
    <row r="421" spans="1:21">
      <c r="A421" s="71"/>
      <c r="B421" s="71" t="s">
        <v>829</v>
      </c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Q421" s="71" t="s">
        <v>818</v>
      </c>
      <c r="R421" s="22" t="s">
        <v>142</v>
      </c>
      <c r="S421" s="71" t="s">
        <v>240</v>
      </c>
      <c r="T421" s="115">
        <v>2518</v>
      </c>
      <c r="U421" s="71" t="s">
        <v>823</v>
      </c>
    </row>
    <row r="422" spans="1:21">
      <c r="A422" s="71" t="s">
        <v>526</v>
      </c>
      <c r="B422" s="71" t="s">
        <v>753</v>
      </c>
      <c r="C422" s="71" t="s">
        <v>826</v>
      </c>
      <c r="D422" s="71" t="s">
        <v>798</v>
      </c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Q422" s="71" t="s">
        <v>818</v>
      </c>
      <c r="R422" s="22" t="s">
        <v>142</v>
      </c>
      <c r="S422" s="71" t="s">
        <v>239</v>
      </c>
      <c r="T422" s="115">
        <v>295000</v>
      </c>
      <c r="U422" s="71" t="s">
        <v>710</v>
      </c>
    </row>
    <row r="423" spans="1:21">
      <c r="A423" s="71" t="s">
        <v>528</v>
      </c>
      <c r="B423" s="71">
        <v>4777500</v>
      </c>
      <c r="C423" s="71">
        <v>345000</v>
      </c>
      <c r="D423" s="71">
        <v>4175000</v>
      </c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Q423" s="71" t="s">
        <v>818</v>
      </c>
      <c r="R423" s="22" t="s">
        <v>142</v>
      </c>
      <c r="S423" s="71" t="s">
        <v>239</v>
      </c>
      <c r="T423" s="115">
        <v>140347</v>
      </c>
      <c r="U423" s="71" t="s">
        <v>819</v>
      </c>
    </row>
    <row r="424" spans="1:21">
      <c r="A424" s="71" t="s">
        <v>530</v>
      </c>
      <c r="B424" s="71">
        <v>3057600</v>
      </c>
      <c r="C424" s="71">
        <v>220800</v>
      </c>
      <c r="D424" s="71">
        <v>2672000</v>
      </c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Q424" s="71" t="s">
        <v>818</v>
      </c>
      <c r="R424" s="22" t="s">
        <v>142</v>
      </c>
      <c r="S424" s="71" t="s">
        <v>239</v>
      </c>
      <c r="T424" s="115">
        <v>356000</v>
      </c>
      <c r="U424" s="71" t="s">
        <v>710</v>
      </c>
    </row>
    <row r="425" spans="1:21">
      <c r="A425" s="71"/>
      <c r="B425" s="71" t="s">
        <v>830</v>
      </c>
      <c r="C425" s="71"/>
      <c r="D425" s="71"/>
      <c r="E425" s="71" t="s">
        <v>831</v>
      </c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Q425" s="71" t="s">
        <v>818</v>
      </c>
      <c r="R425" s="22" t="s">
        <v>142</v>
      </c>
      <c r="S425" s="71" t="s">
        <v>239</v>
      </c>
      <c r="T425" s="115">
        <v>1206000</v>
      </c>
      <c r="U425" s="71" t="s">
        <v>710</v>
      </c>
    </row>
    <row r="426" spans="1:21" ht="15.5">
      <c r="A426" s="71"/>
      <c r="B426" s="71" t="s">
        <v>753</v>
      </c>
      <c r="C426" s="71" t="s">
        <v>826</v>
      </c>
      <c r="D426" s="71" t="s">
        <v>798</v>
      </c>
      <c r="E426" s="74" t="s">
        <v>753</v>
      </c>
      <c r="F426" s="71" t="s">
        <v>826</v>
      </c>
      <c r="G426" s="74" t="s">
        <v>798</v>
      </c>
      <c r="H426" s="71"/>
      <c r="I426" s="71"/>
      <c r="J426" s="71"/>
      <c r="K426" s="71"/>
      <c r="L426" s="71"/>
      <c r="M426" s="71"/>
      <c r="N426" s="71"/>
      <c r="O426" s="71"/>
      <c r="Q426" s="71" t="s">
        <v>818</v>
      </c>
      <c r="R426" s="22" t="s">
        <v>142</v>
      </c>
      <c r="S426" s="71" t="s">
        <v>239</v>
      </c>
      <c r="T426" s="115">
        <v>1175000</v>
      </c>
      <c r="U426" s="71" t="s">
        <v>710</v>
      </c>
    </row>
    <row r="427" spans="1:21">
      <c r="A427" s="71" t="s">
        <v>534</v>
      </c>
      <c r="B427" s="71">
        <v>788287500</v>
      </c>
      <c r="C427" s="71">
        <v>56925000</v>
      </c>
      <c r="D427" s="71">
        <v>688875000</v>
      </c>
      <c r="E427" s="72">
        <v>788287.5</v>
      </c>
      <c r="F427" s="73">
        <v>56925</v>
      </c>
      <c r="G427" s="72">
        <v>688875</v>
      </c>
      <c r="H427" s="71"/>
      <c r="I427" s="71"/>
      <c r="J427" s="71"/>
      <c r="K427" s="71"/>
      <c r="L427" s="71"/>
      <c r="M427" s="71"/>
      <c r="N427" s="71"/>
      <c r="O427" s="71"/>
      <c r="Q427" s="71" t="s">
        <v>818</v>
      </c>
      <c r="R427" s="22" t="s">
        <v>142</v>
      </c>
      <c r="S427" s="71" t="s">
        <v>239</v>
      </c>
      <c r="T427" s="115">
        <v>124933</v>
      </c>
      <c r="U427" s="71" t="s">
        <v>822</v>
      </c>
    </row>
    <row r="428" spans="1:21">
      <c r="A428" s="71" t="s">
        <v>536</v>
      </c>
      <c r="B428" s="71">
        <v>1223040000</v>
      </c>
      <c r="C428" s="71">
        <v>88320000</v>
      </c>
      <c r="D428" s="71">
        <v>1068800000</v>
      </c>
      <c r="E428" s="72">
        <v>1223040</v>
      </c>
      <c r="F428" s="73">
        <v>88320</v>
      </c>
      <c r="G428" s="72">
        <v>1068800</v>
      </c>
      <c r="H428" s="71"/>
      <c r="I428" s="71"/>
      <c r="J428" s="71"/>
      <c r="K428" s="71"/>
      <c r="L428" s="71"/>
      <c r="M428" s="71"/>
      <c r="N428" s="71"/>
      <c r="O428" s="71"/>
      <c r="Q428" s="71" t="s">
        <v>818</v>
      </c>
      <c r="R428" s="22" t="s">
        <v>142</v>
      </c>
      <c r="S428" s="71" t="s">
        <v>239</v>
      </c>
      <c r="T428" s="115">
        <v>147420</v>
      </c>
      <c r="U428" s="71" t="s">
        <v>823</v>
      </c>
    </row>
    <row r="429" spans="1:21">
      <c r="A429" s="71"/>
      <c r="B429" s="71"/>
      <c r="C429" s="71"/>
      <c r="D429" s="71"/>
      <c r="E429" s="71"/>
      <c r="F429" s="73" t="s">
        <v>832</v>
      </c>
      <c r="G429" s="71"/>
      <c r="H429" s="71"/>
      <c r="I429" s="71"/>
      <c r="J429" s="71"/>
      <c r="K429" s="71"/>
      <c r="L429" s="71"/>
      <c r="M429" s="71"/>
      <c r="N429" s="71"/>
      <c r="O429" s="71"/>
      <c r="Q429" s="71" t="s">
        <v>818</v>
      </c>
      <c r="R429" s="22" t="s">
        <v>142</v>
      </c>
      <c r="S429" s="71" t="s">
        <v>239</v>
      </c>
      <c r="T429" s="115">
        <v>912972</v>
      </c>
      <c r="U429" s="71" t="s">
        <v>824</v>
      </c>
    </row>
    <row r="430" spans="1:2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</row>
    <row r="431" spans="1:2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</row>
    <row r="432" spans="1:21" ht="15.5">
      <c r="A432" s="74" t="s">
        <v>615</v>
      </c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</row>
    <row r="433" spans="1:15" ht="15.5">
      <c r="A433" s="74" t="s">
        <v>616</v>
      </c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</row>
    <row r="434" spans="1:15">
      <c r="A434" s="69" t="s">
        <v>617</v>
      </c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</row>
    <row r="435" spans="1:15">
      <c r="A435" s="71" t="s">
        <v>620</v>
      </c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</row>
    <row r="436" spans="1:15" ht="15.5">
      <c r="A436" s="75"/>
      <c r="B436" s="71" t="s">
        <v>423</v>
      </c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</row>
    <row r="437" spans="1:15">
      <c r="A437" s="71" t="s">
        <v>706</v>
      </c>
      <c r="B437" s="71">
        <v>1500</v>
      </c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</row>
    <row r="438" spans="1:15" ht="15.5">
      <c r="A438" s="75" t="s">
        <v>415</v>
      </c>
      <c r="B438" s="93">
        <v>1050</v>
      </c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</row>
    <row r="439" spans="1:15" ht="15.5">
      <c r="A439" s="75" t="s">
        <v>708</v>
      </c>
      <c r="B439" s="71">
        <v>250</v>
      </c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</row>
    <row r="440" spans="1:15" ht="15.5">
      <c r="A440" s="75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</row>
    <row r="441" spans="1:15" ht="15.5">
      <c r="A441" s="110" t="s">
        <v>833</v>
      </c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</row>
    <row r="442" spans="1:15">
      <c r="A442" s="111" t="s">
        <v>834</v>
      </c>
      <c r="B442" s="111"/>
      <c r="C442" s="111" t="s">
        <v>835</v>
      </c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</row>
    <row r="443" spans="1:15">
      <c r="A443" s="112" t="s">
        <v>836</v>
      </c>
      <c r="B443" s="111" t="s">
        <v>528</v>
      </c>
      <c r="C443" s="111">
        <v>43520000000</v>
      </c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</row>
    <row r="444" spans="1:15">
      <c r="A444" s="113" t="s">
        <v>837</v>
      </c>
      <c r="B444" s="111" t="s">
        <v>530</v>
      </c>
      <c r="C444" s="111">
        <v>68000000000</v>
      </c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</row>
    <row r="445" spans="1:15">
      <c r="A445" s="114" t="s">
        <v>838</v>
      </c>
      <c r="B445" s="111"/>
      <c r="C445" s="111" t="s">
        <v>820</v>
      </c>
      <c r="D445" s="111" t="s">
        <v>821</v>
      </c>
      <c r="E445" s="111" t="s">
        <v>839</v>
      </c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</row>
    <row r="446" spans="1:15">
      <c r="A446" s="114" t="s">
        <v>840</v>
      </c>
      <c r="B446" s="111" t="s">
        <v>534</v>
      </c>
      <c r="C446" s="111">
        <v>4488000000</v>
      </c>
      <c r="D446" s="111">
        <v>4488000</v>
      </c>
      <c r="E446" s="111">
        <v>199466.6667</v>
      </c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</row>
    <row r="447" spans="1:15">
      <c r="A447" s="111"/>
      <c r="B447" s="111" t="s">
        <v>536</v>
      </c>
      <c r="C447" s="111">
        <v>10880000000</v>
      </c>
      <c r="D447" s="111">
        <v>10880000</v>
      </c>
      <c r="E447" s="111">
        <v>483555.55560000002</v>
      </c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</row>
    <row r="448" spans="1:1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</row>
    <row r="450" spans="1:13" s="88" customFormat="1">
      <c r="A450" s="88" t="s">
        <v>841</v>
      </c>
    </row>
    <row r="451" spans="1:13" ht="15.5">
      <c r="A451" s="74" t="s">
        <v>842</v>
      </c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</row>
    <row r="452" spans="1:13" ht="15.5">
      <c r="A452" s="80" t="s">
        <v>843</v>
      </c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</row>
    <row r="453" spans="1:13">
      <c r="A453" s="71" t="s">
        <v>801</v>
      </c>
      <c r="B453" s="71"/>
      <c r="C453" s="71"/>
      <c r="D453" s="71"/>
      <c r="E453" s="71" t="s">
        <v>844</v>
      </c>
      <c r="F453" s="71"/>
      <c r="G453" s="71"/>
      <c r="H453" s="71"/>
      <c r="I453" s="71" t="s">
        <v>845</v>
      </c>
      <c r="J453" s="71" t="s">
        <v>846</v>
      </c>
      <c r="K453" s="71" t="s">
        <v>847</v>
      </c>
      <c r="L453" s="71" t="s">
        <v>848</v>
      </c>
      <c r="M453" s="71"/>
    </row>
    <row r="454" spans="1:13">
      <c r="A454" s="71" t="s">
        <v>805</v>
      </c>
      <c r="B454" s="71" t="s">
        <v>849</v>
      </c>
      <c r="C454" s="71"/>
      <c r="D454" s="71"/>
      <c r="E454" s="71" t="s">
        <v>850</v>
      </c>
      <c r="F454" s="71" t="s">
        <v>851</v>
      </c>
      <c r="G454" s="71" t="s">
        <v>852</v>
      </c>
      <c r="H454" s="71" t="s">
        <v>853</v>
      </c>
      <c r="I454" s="71"/>
      <c r="J454" s="71" t="s">
        <v>854</v>
      </c>
      <c r="K454" s="71"/>
      <c r="L454" s="95">
        <v>10470000000</v>
      </c>
      <c r="M454" s="71"/>
    </row>
    <row r="455" spans="1:13" ht="15.5">
      <c r="A455" s="71" t="s">
        <v>855</v>
      </c>
      <c r="B455" s="96">
        <v>76061.259999999995</v>
      </c>
      <c r="C455" s="71"/>
      <c r="D455" s="71" t="s">
        <v>855</v>
      </c>
      <c r="E455" s="71">
        <v>0.28999999999999998</v>
      </c>
      <c r="F455" s="90">
        <v>1.4999999999999999E-2</v>
      </c>
      <c r="G455" s="95">
        <v>20110.14</v>
      </c>
      <c r="H455" s="95">
        <v>1297.6600000000001</v>
      </c>
      <c r="I455" s="71"/>
      <c r="J455" s="91">
        <v>69345298800</v>
      </c>
      <c r="K455" s="71"/>
      <c r="L455" s="71"/>
      <c r="M455" s="71"/>
    </row>
    <row r="456" spans="1:13">
      <c r="A456" s="71" t="s">
        <v>239</v>
      </c>
      <c r="B456" s="95">
        <v>136433.47</v>
      </c>
      <c r="C456" s="71"/>
      <c r="D456" s="71" t="s">
        <v>239</v>
      </c>
      <c r="E456" s="71">
        <v>0.5</v>
      </c>
      <c r="F456" s="90">
        <v>3.4000000000000002E-2</v>
      </c>
      <c r="G456" s="95">
        <v>34672.65</v>
      </c>
      <c r="H456" s="95">
        <v>2941.36</v>
      </c>
      <c r="I456" s="71"/>
      <c r="J456" s="71"/>
      <c r="K456" s="71"/>
      <c r="L456" s="71"/>
      <c r="M456" s="71"/>
    </row>
    <row r="457" spans="1:13">
      <c r="A457" s="71" t="s">
        <v>856</v>
      </c>
      <c r="B457" s="95">
        <v>3914.45</v>
      </c>
      <c r="C457" s="71"/>
      <c r="D457" s="71" t="s">
        <v>856</v>
      </c>
      <c r="E457" s="90">
        <v>1.2E-2</v>
      </c>
      <c r="F457" s="90">
        <v>1.8E-3</v>
      </c>
      <c r="G457" s="71">
        <v>832.14</v>
      </c>
      <c r="H457" s="71">
        <v>155.72</v>
      </c>
      <c r="I457" s="71"/>
      <c r="J457" s="71" t="s">
        <v>857</v>
      </c>
      <c r="K457" s="71" t="s">
        <v>858</v>
      </c>
      <c r="L457" s="71"/>
      <c r="M457" s="71"/>
    </row>
    <row r="458" spans="1:13" ht="15.5">
      <c r="A458" s="71" t="s">
        <v>859</v>
      </c>
      <c r="B458" s="96">
        <v>2386.3000000000002</v>
      </c>
      <c r="C458" s="71"/>
      <c r="D458" s="71" t="s">
        <v>859</v>
      </c>
      <c r="E458" s="90">
        <v>9.1000000000000004E-3</v>
      </c>
      <c r="F458" s="90">
        <v>4.6999999999999999E-4</v>
      </c>
      <c r="G458" s="71">
        <v>631.04</v>
      </c>
      <c r="H458" s="71">
        <v>40.659999999999997</v>
      </c>
      <c r="I458" s="71"/>
      <c r="J458" s="95">
        <v>86510501280</v>
      </c>
      <c r="K458" s="71"/>
      <c r="L458" s="71"/>
      <c r="M458" s="71"/>
    </row>
    <row r="459" spans="1:13" ht="15.5">
      <c r="A459" s="71" t="s">
        <v>240</v>
      </c>
      <c r="B459" s="93">
        <v>597.41</v>
      </c>
      <c r="C459" s="71"/>
      <c r="D459" s="71" t="s">
        <v>240</v>
      </c>
      <c r="E459" s="90">
        <v>2.3E-3</v>
      </c>
      <c r="F459" s="90">
        <v>1.1E-4</v>
      </c>
      <c r="G459" s="71">
        <v>159.49</v>
      </c>
      <c r="H459" s="71">
        <v>9.52</v>
      </c>
      <c r="I459" s="71"/>
      <c r="J459" s="71"/>
      <c r="K459" s="71"/>
      <c r="L459" s="71"/>
      <c r="M459" s="71"/>
    </row>
    <row r="460" spans="1:13">
      <c r="A460" s="71" t="s">
        <v>860</v>
      </c>
      <c r="B460" s="95">
        <v>7602.55</v>
      </c>
      <c r="C460" s="71"/>
      <c r="D460" s="71" t="s">
        <v>860</v>
      </c>
      <c r="E460" s="90">
        <v>3.2000000000000001E-2</v>
      </c>
      <c r="F460" s="90">
        <v>4.4000000000000002E-4</v>
      </c>
      <c r="G460" s="95">
        <v>2219.0500000000002</v>
      </c>
      <c r="H460" s="71">
        <v>38.06</v>
      </c>
      <c r="I460" s="71"/>
      <c r="J460" s="71"/>
      <c r="K460" s="71"/>
      <c r="L460" s="71"/>
      <c r="M460" s="71"/>
    </row>
    <row r="461" spans="1:13">
      <c r="A461" s="71" t="s">
        <v>861</v>
      </c>
      <c r="B461" s="95">
        <v>38337.99</v>
      </c>
      <c r="C461" s="71"/>
      <c r="D461" s="71" t="s">
        <v>861</v>
      </c>
      <c r="E461" s="71">
        <v>0.16</v>
      </c>
      <c r="F461" s="90">
        <v>2.7000000000000001E-3</v>
      </c>
      <c r="G461" s="95">
        <v>11095.25</v>
      </c>
      <c r="H461" s="71">
        <v>233.58</v>
      </c>
      <c r="I461" s="71"/>
      <c r="J461" s="71"/>
      <c r="K461" s="71"/>
      <c r="L461" s="71"/>
      <c r="M461" s="71"/>
    </row>
    <row r="462" spans="1:13">
      <c r="A462" s="71" t="s">
        <v>774</v>
      </c>
      <c r="B462" s="71">
        <v>732.81</v>
      </c>
      <c r="C462" s="71"/>
      <c r="D462" s="71" t="s">
        <v>774</v>
      </c>
      <c r="E462" s="90">
        <v>3.2000000000000002E-3</v>
      </c>
      <c r="F462" s="90">
        <v>1.7999999999999999E-6</v>
      </c>
      <c r="G462" s="71">
        <v>221.9</v>
      </c>
      <c r="H462" s="71">
        <v>0.16</v>
      </c>
      <c r="I462" s="71"/>
      <c r="J462" s="71"/>
      <c r="K462" s="71"/>
      <c r="L462" s="71"/>
      <c r="M462" s="71"/>
    </row>
    <row r="463" spans="1:13">
      <c r="A463" s="71" t="s">
        <v>862</v>
      </c>
      <c r="B463" s="95">
        <v>2149.1799999999998</v>
      </c>
      <c r="C463" s="71"/>
      <c r="D463" s="71" t="s">
        <v>862</v>
      </c>
      <c r="E463" s="90">
        <v>9.4000000000000004E-3</v>
      </c>
      <c r="F463" s="71" t="s">
        <v>827</v>
      </c>
      <c r="G463" s="71">
        <v>651.85</v>
      </c>
      <c r="H463" s="71"/>
      <c r="I463" s="71"/>
      <c r="J463" s="71"/>
      <c r="K463" s="71"/>
      <c r="L463" s="71"/>
      <c r="M463" s="71"/>
    </row>
    <row r="464" spans="1:13" ht="15.5">
      <c r="A464" s="71" t="s">
        <v>863</v>
      </c>
      <c r="B464" s="96">
        <v>140347.92000000001</v>
      </c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</row>
    <row r="465" spans="1:13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</row>
    <row r="466" spans="1:13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</row>
    <row r="467" spans="1:13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</row>
    <row r="468" spans="1:13" ht="15.5">
      <c r="A468" s="74" t="s">
        <v>864</v>
      </c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</row>
    <row r="469" spans="1:13" ht="15.5">
      <c r="A469" s="80" t="s">
        <v>749</v>
      </c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</row>
    <row r="470" spans="1:13">
      <c r="A470" s="71" t="s">
        <v>516</v>
      </c>
      <c r="B470" s="71" t="s">
        <v>865</v>
      </c>
      <c r="C470" s="71" t="s">
        <v>866</v>
      </c>
      <c r="D470" s="71" t="s">
        <v>867</v>
      </c>
      <c r="E470" s="71" t="s">
        <v>868</v>
      </c>
      <c r="F470" s="71"/>
      <c r="G470" s="71"/>
      <c r="H470" s="71"/>
      <c r="I470" s="71"/>
      <c r="J470" s="71"/>
      <c r="K470" s="71"/>
      <c r="L470" s="71"/>
      <c r="M470" s="71"/>
    </row>
    <row r="471" spans="1:13" ht="15.5">
      <c r="A471" s="71" t="s">
        <v>241</v>
      </c>
      <c r="B471" s="92">
        <v>46100</v>
      </c>
      <c r="C471" s="71">
        <v>0</v>
      </c>
      <c r="D471" s="92">
        <v>45200</v>
      </c>
      <c r="E471" s="92">
        <v>42600</v>
      </c>
      <c r="F471" s="71"/>
      <c r="G471" s="71"/>
      <c r="H471" s="71"/>
      <c r="I471" s="71"/>
      <c r="J471" s="71"/>
      <c r="K471" s="71"/>
      <c r="L471" s="71"/>
      <c r="M471" s="71"/>
    </row>
    <row r="472" spans="1:13">
      <c r="A472" s="71" t="s">
        <v>413</v>
      </c>
      <c r="B472" s="91">
        <v>459000</v>
      </c>
      <c r="C472" s="91">
        <v>159000</v>
      </c>
      <c r="D472" s="91">
        <v>460000</v>
      </c>
      <c r="E472" s="91">
        <v>460000</v>
      </c>
      <c r="F472" s="71"/>
      <c r="G472" s="71"/>
      <c r="H472" s="71"/>
      <c r="I472" s="71"/>
      <c r="J472" s="71"/>
      <c r="K472" s="71"/>
      <c r="L472" s="71"/>
      <c r="M472" s="71"/>
    </row>
    <row r="473" spans="1:13" ht="15.5">
      <c r="A473" s="71" t="s">
        <v>233</v>
      </c>
      <c r="B473" s="92">
        <v>87400</v>
      </c>
      <c r="C473" s="92">
        <v>232000</v>
      </c>
      <c r="D473" s="92">
        <v>988000</v>
      </c>
      <c r="E473" s="92">
        <v>987000</v>
      </c>
      <c r="F473" s="71"/>
      <c r="G473" s="71"/>
      <c r="H473" s="71"/>
      <c r="I473" s="71"/>
      <c r="J473" s="71"/>
      <c r="K473" s="71"/>
      <c r="L473" s="71"/>
      <c r="M473" s="71"/>
    </row>
    <row r="474" spans="1:13">
      <c r="A474" s="71" t="s">
        <v>869</v>
      </c>
      <c r="B474" s="91">
        <v>34000</v>
      </c>
      <c r="C474" s="91">
        <v>77000</v>
      </c>
      <c r="D474" s="91">
        <v>283000</v>
      </c>
      <c r="E474" s="91">
        <v>282000</v>
      </c>
      <c r="F474" s="71"/>
      <c r="G474" s="71"/>
      <c r="H474" s="71"/>
      <c r="I474" s="71"/>
      <c r="J474" s="71"/>
      <c r="K474" s="71"/>
      <c r="L474" s="71"/>
      <c r="M474" s="71"/>
    </row>
    <row r="475" spans="1:13" ht="15.5">
      <c r="A475" s="71" t="s">
        <v>239</v>
      </c>
      <c r="B475" s="92">
        <v>356000</v>
      </c>
      <c r="C475" s="92">
        <v>295000</v>
      </c>
      <c r="D475" s="92">
        <v>1206000</v>
      </c>
      <c r="E475" s="92">
        <v>1175000</v>
      </c>
      <c r="F475" s="71"/>
      <c r="G475" s="71"/>
      <c r="H475" s="71"/>
      <c r="I475" s="71"/>
      <c r="J475" s="71"/>
      <c r="K475" s="71"/>
      <c r="L475" s="71"/>
      <c r="M475" s="71"/>
    </row>
    <row r="476" spans="1:13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</row>
    <row r="477" spans="1:13" ht="15.5">
      <c r="A477" s="74" t="s">
        <v>870</v>
      </c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</row>
    <row r="478" spans="1:13">
      <c r="A478" s="69" t="s">
        <v>871</v>
      </c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</row>
    <row r="479" spans="1:13">
      <c r="A479" s="76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</row>
    <row r="480" spans="1:13">
      <c r="A480" s="71" t="s">
        <v>872</v>
      </c>
      <c r="B480" s="71" t="s">
        <v>873</v>
      </c>
      <c r="C480" s="71" t="s">
        <v>874</v>
      </c>
      <c r="D480" s="71" t="s">
        <v>875</v>
      </c>
      <c r="E480" s="71" t="s">
        <v>876</v>
      </c>
      <c r="F480" s="71" t="s">
        <v>877</v>
      </c>
      <c r="G480" s="71"/>
      <c r="H480" s="71"/>
      <c r="I480" s="71"/>
      <c r="J480" s="71"/>
      <c r="K480" s="71"/>
      <c r="L480" s="71"/>
      <c r="M480" s="71"/>
    </row>
    <row r="481" spans="1:13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</row>
    <row r="482" spans="1:13">
      <c r="A482" s="71"/>
      <c r="B482" s="71" t="s">
        <v>480</v>
      </c>
      <c r="C482" s="71" t="s">
        <v>878</v>
      </c>
      <c r="D482" s="71" t="s">
        <v>879</v>
      </c>
      <c r="E482" s="71"/>
      <c r="F482" s="71"/>
      <c r="G482" s="71"/>
      <c r="H482" s="71"/>
      <c r="I482" s="71"/>
      <c r="J482" s="71"/>
      <c r="K482" s="71"/>
      <c r="L482" s="71"/>
      <c r="M482" s="71"/>
    </row>
    <row r="483" spans="1:13">
      <c r="A483" s="71" t="s">
        <v>233</v>
      </c>
      <c r="B483" s="71">
        <v>8.2600000000000002E-4</v>
      </c>
      <c r="C483" s="71">
        <v>19031.04</v>
      </c>
      <c r="D483" s="97">
        <v>311984.26</v>
      </c>
      <c r="E483" s="71"/>
      <c r="F483" s="71"/>
      <c r="G483" s="71"/>
      <c r="H483" s="71"/>
      <c r="I483" s="71"/>
      <c r="J483" s="71"/>
      <c r="K483" s="71"/>
      <c r="L483" s="71"/>
      <c r="M483" s="71"/>
    </row>
    <row r="484" spans="1:13">
      <c r="A484" s="71" t="s">
        <v>239</v>
      </c>
      <c r="B484" s="71">
        <v>3.3076999999999998E-4</v>
      </c>
      <c r="C484" s="71">
        <v>7620.9408000000003</v>
      </c>
      <c r="D484" s="97">
        <v>124933.46</v>
      </c>
      <c r="E484" s="71"/>
      <c r="F484" s="71"/>
      <c r="G484" s="71"/>
      <c r="H484" s="71"/>
      <c r="I484" s="71"/>
      <c r="J484" s="71"/>
      <c r="K484" s="71"/>
      <c r="L484" s="71"/>
      <c r="M484" s="71"/>
    </row>
    <row r="485" spans="1:13">
      <c r="A485" s="71" t="s">
        <v>880</v>
      </c>
      <c r="B485" s="71">
        <v>2.5319999999999997E-4</v>
      </c>
      <c r="C485" s="71">
        <v>5833.7280000000001</v>
      </c>
      <c r="D485" s="95">
        <v>95634.89</v>
      </c>
      <c r="E485" s="71"/>
      <c r="F485" s="71"/>
      <c r="G485" s="71"/>
      <c r="H485" s="71"/>
      <c r="I485" s="71"/>
      <c r="J485" s="71"/>
      <c r="K485" s="71"/>
      <c r="L485" s="71"/>
      <c r="M485" s="71"/>
    </row>
    <row r="486" spans="1:13">
      <c r="A486" s="71" t="s">
        <v>869</v>
      </c>
      <c r="B486" s="71">
        <v>9.3999999999999994E-5</v>
      </c>
      <c r="C486" s="71">
        <v>2165.7600000000002</v>
      </c>
      <c r="D486" s="95">
        <v>35504.26</v>
      </c>
      <c r="E486" s="71"/>
      <c r="F486" s="71"/>
      <c r="G486" s="71"/>
      <c r="H486" s="71"/>
      <c r="I486" s="71"/>
      <c r="J486" s="71"/>
      <c r="K486" s="71"/>
      <c r="L486" s="71"/>
      <c r="M486" s="71"/>
    </row>
    <row r="487" spans="1:13">
      <c r="A487" s="71" t="s">
        <v>240</v>
      </c>
      <c r="B487" s="71">
        <v>5.0000000000000002E-5</v>
      </c>
      <c r="C487" s="71">
        <v>1152</v>
      </c>
      <c r="D487" s="97">
        <v>18885.25</v>
      </c>
      <c r="E487" s="71"/>
      <c r="F487" s="71"/>
      <c r="G487" s="71"/>
      <c r="H487" s="71"/>
      <c r="I487" s="71"/>
      <c r="J487" s="71"/>
      <c r="K487" s="71"/>
      <c r="L487" s="71"/>
      <c r="M487" s="71"/>
    </row>
    <row r="488" spans="1:13">
      <c r="A488" s="71" t="s">
        <v>881</v>
      </c>
      <c r="B488" s="71">
        <v>3.4999999999999997E-5</v>
      </c>
      <c r="C488" s="71">
        <v>806.4</v>
      </c>
      <c r="D488" s="95">
        <v>13219.67</v>
      </c>
      <c r="E488" s="71"/>
      <c r="F488" s="71"/>
      <c r="G488" s="71"/>
      <c r="H488" s="71"/>
      <c r="I488" s="71"/>
      <c r="J488" s="71"/>
      <c r="K488" s="71"/>
      <c r="L488" s="71"/>
      <c r="M488" s="71"/>
    </row>
    <row r="489" spans="1:13">
      <c r="A489" s="71" t="s">
        <v>241</v>
      </c>
      <c r="B489" s="71">
        <v>2.6999999999999999E-5</v>
      </c>
      <c r="C489" s="71">
        <v>622.08000000000004</v>
      </c>
      <c r="D489" s="97">
        <v>10198.030000000001</v>
      </c>
      <c r="E489" s="71"/>
      <c r="F489" s="71"/>
      <c r="G489" s="71"/>
      <c r="H489" s="71"/>
      <c r="I489" s="71"/>
      <c r="J489" s="71"/>
      <c r="K489" s="71"/>
      <c r="L489" s="71"/>
      <c r="M489" s="71"/>
    </row>
    <row r="490" spans="1:13">
      <c r="A490" s="71" t="s">
        <v>882</v>
      </c>
      <c r="B490" s="71">
        <v>4.0999999999999997E-6</v>
      </c>
      <c r="C490" s="71">
        <v>94.463999999999999</v>
      </c>
      <c r="D490" s="95">
        <v>1548.59</v>
      </c>
      <c r="E490" s="71"/>
      <c r="F490" s="71"/>
      <c r="G490" s="71"/>
      <c r="H490" s="71"/>
      <c r="I490" s="71"/>
      <c r="J490" s="71"/>
      <c r="K490" s="71"/>
      <c r="L490" s="71"/>
      <c r="M490" s="71"/>
    </row>
    <row r="491" spans="1:13">
      <c r="A491" s="71" t="s">
        <v>883</v>
      </c>
      <c r="B491" s="71">
        <v>2.7999999999999999E-6</v>
      </c>
      <c r="C491" s="71">
        <v>64.512</v>
      </c>
      <c r="D491" s="95">
        <v>1057.57</v>
      </c>
      <c r="E491" s="71"/>
      <c r="F491" s="71"/>
      <c r="G491" s="71"/>
      <c r="H491" s="71"/>
      <c r="I491" s="71"/>
      <c r="J491" s="71"/>
      <c r="K491" s="71"/>
      <c r="L491" s="71"/>
      <c r="M491" s="71"/>
    </row>
    <row r="492" spans="1:13">
      <c r="A492" s="71" t="s">
        <v>884</v>
      </c>
      <c r="B492" s="71">
        <v>8.2999999999999999E-7</v>
      </c>
      <c r="C492" s="71">
        <v>19.123200000000001</v>
      </c>
      <c r="D492" s="71">
        <v>313.5</v>
      </c>
      <c r="E492" s="71"/>
      <c r="F492" s="71"/>
      <c r="G492" s="71"/>
      <c r="H492" s="71"/>
      <c r="I492" s="71"/>
      <c r="J492" s="71"/>
      <c r="K492" s="71"/>
      <c r="L492" s="71"/>
      <c r="M492" s="71"/>
    </row>
    <row r="493" spans="1:1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</row>
    <row r="494" spans="1:13" ht="15.5">
      <c r="A494" s="74" t="s">
        <v>823</v>
      </c>
      <c r="B494" s="74"/>
      <c r="C494" s="74"/>
      <c r="D494" s="74"/>
      <c r="E494" s="74"/>
      <c r="F494" s="74"/>
      <c r="G494" s="74"/>
      <c r="H494" s="74"/>
      <c r="I494" s="74" t="s">
        <v>885</v>
      </c>
      <c r="J494" s="74" t="s">
        <v>886</v>
      </c>
      <c r="K494" s="74"/>
      <c r="L494" s="74"/>
      <c r="M494" s="74"/>
    </row>
    <row r="495" spans="1:13" ht="15.5">
      <c r="A495" s="74" t="s">
        <v>887</v>
      </c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</row>
    <row r="496" spans="1:13">
      <c r="A496" s="69" t="s">
        <v>888</v>
      </c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</row>
    <row r="497" spans="1:13">
      <c r="A497" s="71" t="s">
        <v>889</v>
      </c>
      <c r="B497" s="71" t="s">
        <v>890</v>
      </c>
      <c r="C497" s="71" t="s">
        <v>891</v>
      </c>
      <c r="D497" s="71" t="s">
        <v>892</v>
      </c>
      <c r="E497" s="71" t="s">
        <v>893</v>
      </c>
      <c r="F497" s="71" t="s">
        <v>894</v>
      </c>
      <c r="G497" s="71" t="s">
        <v>895</v>
      </c>
      <c r="H497" s="71" t="s">
        <v>896</v>
      </c>
      <c r="I497" s="71"/>
      <c r="J497" s="71"/>
      <c r="K497" s="71"/>
      <c r="L497" s="71"/>
      <c r="M497" s="71"/>
    </row>
    <row r="498" spans="1:13" ht="15.5">
      <c r="A498" s="71" t="s">
        <v>855</v>
      </c>
      <c r="B498" s="71">
        <v>1737190</v>
      </c>
      <c r="C498" s="71">
        <v>272972</v>
      </c>
      <c r="D498" s="71">
        <v>1230000</v>
      </c>
      <c r="E498" s="71"/>
      <c r="F498" s="98">
        <v>1555660</v>
      </c>
      <c r="G498" s="71"/>
      <c r="H498" s="71">
        <v>637500</v>
      </c>
      <c r="I498" s="71">
        <v>5433.3220000000001</v>
      </c>
      <c r="J498" s="93">
        <v>271666.09999999998</v>
      </c>
      <c r="K498" s="71"/>
      <c r="L498" s="71"/>
      <c r="M498" s="71"/>
    </row>
    <row r="499" spans="1:13">
      <c r="A499" s="71" t="s">
        <v>869</v>
      </c>
      <c r="B499" s="71">
        <v>832324</v>
      </c>
      <c r="C499" s="71">
        <v>130600</v>
      </c>
      <c r="D499" s="71"/>
      <c r="E499" s="71"/>
      <c r="F499" s="71"/>
      <c r="G499" s="71"/>
      <c r="H499" s="71"/>
      <c r="I499" s="71">
        <v>962.92399999999998</v>
      </c>
      <c r="J499" s="71">
        <v>48146.2</v>
      </c>
      <c r="K499" s="71"/>
      <c r="L499" s="71"/>
      <c r="M499" s="71"/>
    </row>
    <row r="500" spans="1:13" ht="15.5">
      <c r="A500" s="71" t="s">
        <v>241</v>
      </c>
      <c r="B500" s="71"/>
      <c r="C500" s="71"/>
      <c r="D500" s="71">
        <v>9000</v>
      </c>
      <c r="E500" s="71">
        <v>12962</v>
      </c>
      <c r="F500" s="71"/>
      <c r="G500" s="71">
        <v>5680</v>
      </c>
      <c r="H500" s="71">
        <v>1310</v>
      </c>
      <c r="I500" s="71">
        <v>28.952000000000002</v>
      </c>
      <c r="J500" s="93">
        <v>1447.6</v>
      </c>
      <c r="K500" s="71"/>
      <c r="L500" s="71"/>
      <c r="M500" s="71"/>
    </row>
    <row r="501" spans="1:13" ht="15.5">
      <c r="A501" s="71" t="s">
        <v>240</v>
      </c>
      <c r="B501" s="71"/>
      <c r="C501" s="71"/>
      <c r="D501" s="71"/>
      <c r="E501" s="71"/>
      <c r="F501" s="71">
        <v>4000</v>
      </c>
      <c r="G501" s="71">
        <v>16200</v>
      </c>
      <c r="H501" s="71">
        <v>30150</v>
      </c>
      <c r="I501" s="71">
        <v>50.35</v>
      </c>
      <c r="J501" s="93">
        <v>2517.5</v>
      </c>
      <c r="K501" s="71"/>
      <c r="L501" s="71"/>
      <c r="M501" s="71"/>
    </row>
    <row r="502" spans="1:13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</row>
    <row r="503" spans="1:13">
      <c r="A503" s="71"/>
      <c r="B503" s="71" t="s">
        <v>897</v>
      </c>
      <c r="C503" s="71" t="s">
        <v>516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</row>
    <row r="504" spans="1:13">
      <c r="A504" s="71" t="s">
        <v>898</v>
      </c>
      <c r="B504" s="71">
        <v>2948401</v>
      </c>
      <c r="C504" s="72">
        <v>147420.04999999999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</row>
    <row r="505" spans="1:13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</row>
    <row r="506" spans="1:13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</row>
    <row r="507" spans="1:13" ht="15.5">
      <c r="A507" s="74" t="s">
        <v>824</v>
      </c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</row>
    <row r="508" spans="1:13" ht="15.5">
      <c r="A508" s="74" t="s">
        <v>899</v>
      </c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</row>
    <row r="509" spans="1:13">
      <c r="A509" s="69" t="s">
        <v>900</v>
      </c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</row>
    <row r="510" spans="1:13">
      <c r="A510" s="78"/>
      <c r="B510" s="71" t="s">
        <v>901</v>
      </c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</row>
    <row r="511" spans="1:13">
      <c r="A511" s="71" t="s">
        <v>902</v>
      </c>
      <c r="B511" s="71">
        <v>3.7</v>
      </c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</row>
    <row r="512" spans="1:13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</row>
    <row r="513" spans="1:13">
      <c r="A513" s="71"/>
      <c r="B513" s="71"/>
      <c r="C513" s="71" t="s">
        <v>879</v>
      </c>
      <c r="D513" s="71"/>
      <c r="E513" s="71"/>
      <c r="F513" s="71"/>
      <c r="G513" s="71"/>
      <c r="H513" s="71"/>
      <c r="I513" s="71"/>
      <c r="J513" s="71"/>
      <c r="K513" s="71"/>
      <c r="L513" s="71"/>
      <c r="M513" s="71"/>
    </row>
    <row r="514" spans="1:13">
      <c r="A514" s="71" t="s">
        <v>861</v>
      </c>
      <c r="B514" s="71">
        <v>1288</v>
      </c>
      <c r="C514" s="71">
        <v>348108.10810000001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</row>
    <row r="515" spans="1:13">
      <c r="A515" s="71" t="s">
        <v>869</v>
      </c>
      <c r="B515" s="71">
        <v>101</v>
      </c>
      <c r="C515" s="71">
        <v>27297.297299999998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</row>
    <row r="516" spans="1:13">
      <c r="A516" s="71" t="s">
        <v>903</v>
      </c>
      <c r="B516" s="71">
        <v>89</v>
      </c>
      <c r="C516" s="71">
        <v>24054.054049999999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</row>
    <row r="517" spans="1:13" ht="15.5">
      <c r="A517" s="71" t="s">
        <v>239</v>
      </c>
      <c r="B517" s="71">
        <v>3378</v>
      </c>
      <c r="C517" s="93">
        <v>912972.973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</row>
    <row r="518" spans="1:13" ht="15.5">
      <c r="A518" s="71" t="s">
        <v>855</v>
      </c>
      <c r="B518" s="71">
        <v>727</v>
      </c>
      <c r="C518" s="93">
        <v>196486.4865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</row>
    <row r="519" spans="1:13" ht="15.5">
      <c r="A519" s="71" t="s">
        <v>241</v>
      </c>
      <c r="B519" s="71">
        <v>36</v>
      </c>
      <c r="C519" s="93">
        <v>9729.7297299999991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</row>
    <row r="522" spans="1:13" s="88" customFormat="1">
      <c r="A522" s="89" t="s">
        <v>904</v>
      </c>
    </row>
    <row r="523" spans="1:13" ht="15.5">
      <c r="A523" s="80" t="s">
        <v>905</v>
      </c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</row>
    <row r="524" spans="1:13" ht="15.5">
      <c r="A524" s="74" t="s">
        <v>906</v>
      </c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</row>
    <row r="525" spans="1:13">
      <c r="A525" s="69" t="s">
        <v>907</v>
      </c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100"/>
    </row>
    <row r="526" spans="1:13">
      <c r="A526" s="71" t="s">
        <v>908</v>
      </c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</row>
    <row r="527" spans="1:13">
      <c r="A527" s="71"/>
      <c r="B527" s="71" t="s">
        <v>909</v>
      </c>
      <c r="C527" s="71" t="s">
        <v>910</v>
      </c>
      <c r="D527" s="71" t="s">
        <v>911</v>
      </c>
      <c r="E527" s="71" t="s">
        <v>912</v>
      </c>
      <c r="F527" s="71" t="s">
        <v>913</v>
      </c>
      <c r="G527" s="71" t="s">
        <v>517</v>
      </c>
      <c r="H527" s="71"/>
      <c r="I527" s="71"/>
      <c r="J527" s="71"/>
      <c r="K527" s="71"/>
      <c r="L527" s="71"/>
    </row>
    <row r="528" spans="1:13">
      <c r="A528" s="71" t="s">
        <v>914</v>
      </c>
      <c r="B528" s="71">
        <v>191293</v>
      </c>
      <c r="C528" s="71">
        <v>104231</v>
      </c>
      <c r="D528" s="71">
        <v>204498</v>
      </c>
      <c r="E528" s="71">
        <v>21816</v>
      </c>
      <c r="F528" s="71">
        <v>51508</v>
      </c>
      <c r="G528" s="71" t="s">
        <v>915</v>
      </c>
      <c r="H528" s="71"/>
      <c r="I528" s="71"/>
      <c r="J528" s="71"/>
      <c r="K528" s="71"/>
      <c r="L528" s="71"/>
    </row>
    <row r="529" spans="1:12">
      <c r="A529" s="71" t="s">
        <v>916</v>
      </c>
      <c r="B529" s="71">
        <v>63439</v>
      </c>
      <c r="C529" s="71">
        <v>50099</v>
      </c>
      <c r="D529" s="71">
        <v>70903</v>
      </c>
      <c r="E529" s="71">
        <v>7707</v>
      </c>
      <c r="F529" s="71">
        <v>19348</v>
      </c>
      <c r="G529" s="71"/>
      <c r="H529" s="71"/>
      <c r="I529" s="71"/>
      <c r="J529" s="71"/>
      <c r="K529" s="71"/>
      <c r="L529" s="71"/>
    </row>
    <row r="530" spans="1:12">
      <c r="A530" s="71" t="s">
        <v>917</v>
      </c>
      <c r="B530" s="71">
        <v>526055.75</v>
      </c>
      <c r="C530" s="71">
        <v>286635.25</v>
      </c>
      <c r="D530" s="71">
        <v>562369.5</v>
      </c>
      <c r="E530" s="71">
        <v>59994</v>
      </c>
      <c r="F530" s="71">
        <v>141647</v>
      </c>
      <c r="G530" s="71"/>
      <c r="H530" s="71"/>
      <c r="I530" s="71"/>
      <c r="J530" s="71"/>
      <c r="K530" s="71"/>
      <c r="L530" s="71"/>
    </row>
    <row r="531" spans="1:12">
      <c r="A531" s="71" t="s">
        <v>918</v>
      </c>
      <c r="B531" s="71">
        <v>61853.025000000001</v>
      </c>
      <c r="C531" s="71">
        <v>48846.525000000001</v>
      </c>
      <c r="D531" s="71">
        <v>69130.425000000003</v>
      </c>
      <c r="E531" s="71">
        <v>7514.3249999999998</v>
      </c>
      <c r="F531" s="71">
        <v>18864.3</v>
      </c>
      <c r="G531" s="71"/>
      <c r="H531" s="71"/>
      <c r="I531" s="71"/>
      <c r="J531" s="71"/>
      <c r="K531" s="71"/>
      <c r="L531" s="100"/>
    </row>
    <row r="532" spans="1:12">
      <c r="A532" s="71" t="s">
        <v>919</v>
      </c>
      <c r="B532" s="72">
        <v>381199.81880000001</v>
      </c>
      <c r="C532" s="73">
        <v>191090.1667</v>
      </c>
      <c r="D532" s="72">
        <v>351480.9375</v>
      </c>
      <c r="E532" s="73">
        <v>209769.23079999999</v>
      </c>
      <c r="F532" s="73">
        <v>114693.9271</v>
      </c>
      <c r="G532" s="71"/>
      <c r="H532" s="71"/>
      <c r="I532" s="71"/>
      <c r="J532" s="71"/>
      <c r="K532" s="71"/>
      <c r="L532" s="100"/>
    </row>
    <row r="533" spans="1:12">
      <c r="A533" s="71" t="s">
        <v>920</v>
      </c>
      <c r="B533" s="72">
        <v>44821.032610000002</v>
      </c>
      <c r="C533" s="73">
        <v>32564.35</v>
      </c>
      <c r="D533" s="72">
        <v>43206.515630000002</v>
      </c>
      <c r="E533" s="73">
        <v>26273.86364</v>
      </c>
      <c r="F533" s="73">
        <v>15274.73684</v>
      </c>
      <c r="G533" s="71"/>
      <c r="H533" s="71"/>
      <c r="I533" s="71"/>
      <c r="J533" s="71"/>
      <c r="K533" s="71"/>
      <c r="L533" s="100"/>
    </row>
    <row r="534" spans="1:12">
      <c r="A534" s="71"/>
      <c r="B534" s="71" t="s">
        <v>921</v>
      </c>
      <c r="C534" s="71" t="s">
        <v>922</v>
      </c>
      <c r="D534" s="71" t="s">
        <v>921</v>
      </c>
      <c r="E534" s="71" t="s">
        <v>923</v>
      </c>
      <c r="F534" s="71" t="s">
        <v>922</v>
      </c>
      <c r="G534" s="71"/>
      <c r="H534" s="71"/>
      <c r="I534" s="71"/>
      <c r="J534" s="71"/>
      <c r="K534" s="71"/>
      <c r="L534" s="100"/>
    </row>
    <row r="535" spans="1:12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100"/>
    </row>
    <row r="536" spans="1:12">
      <c r="A536" s="71" t="s">
        <v>526</v>
      </c>
      <c r="B536" s="71"/>
      <c r="C536" s="71"/>
      <c r="D536" s="100"/>
      <c r="E536" s="71"/>
      <c r="F536" s="71"/>
      <c r="G536" s="71"/>
      <c r="H536" s="71"/>
      <c r="I536" s="71"/>
      <c r="J536" s="71"/>
      <c r="K536" s="71"/>
      <c r="L536" s="100"/>
    </row>
    <row r="537" spans="1:12">
      <c r="A537" s="71"/>
      <c r="B537" s="71" t="s">
        <v>531</v>
      </c>
      <c r="C537" s="71"/>
      <c r="D537" s="71" t="s">
        <v>532</v>
      </c>
      <c r="E537" s="71"/>
      <c r="F537" s="71" t="s">
        <v>839</v>
      </c>
      <c r="G537" s="71"/>
      <c r="H537" s="71"/>
      <c r="I537" s="71"/>
      <c r="J537" s="71"/>
      <c r="K537" s="71"/>
      <c r="L537" s="100"/>
    </row>
    <row r="538" spans="1:12">
      <c r="A538" s="71"/>
      <c r="B538" s="71" t="s">
        <v>909</v>
      </c>
      <c r="C538" s="71" t="s">
        <v>911</v>
      </c>
      <c r="D538" s="71" t="s">
        <v>909</v>
      </c>
      <c r="E538" s="71" t="s">
        <v>911</v>
      </c>
      <c r="F538" s="71" t="s">
        <v>909</v>
      </c>
      <c r="G538" s="71" t="s">
        <v>911</v>
      </c>
      <c r="H538" s="71"/>
      <c r="I538" s="71"/>
      <c r="J538" s="71"/>
      <c r="K538" s="71"/>
      <c r="L538" s="100"/>
    </row>
    <row r="539" spans="1:12">
      <c r="A539" s="71" t="s">
        <v>924</v>
      </c>
      <c r="B539" s="71">
        <v>31563345</v>
      </c>
      <c r="C539" s="71">
        <v>33742170</v>
      </c>
      <c r="D539" s="99">
        <v>31563.345000000001</v>
      </c>
      <c r="E539" s="99">
        <v>33742.17</v>
      </c>
      <c r="F539" s="72">
        <v>22871.989130000002</v>
      </c>
      <c r="G539" s="72">
        <v>21088.856250000001</v>
      </c>
      <c r="H539" s="71"/>
      <c r="I539" s="71"/>
      <c r="J539" s="71"/>
      <c r="K539" s="71"/>
      <c r="L539" s="100"/>
    </row>
    <row r="540" spans="1:12">
      <c r="A540" s="71" t="s">
        <v>925</v>
      </c>
      <c r="B540" s="71">
        <v>76517200</v>
      </c>
      <c r="C540" s="71">
        <v>81799200</v>
      </c>
      <c r="D540" s="99">
        <v>76517.2</v>
      </c>
      <c r="E540" s="99">
        <v>81799.199999999997</v>
      </c>
      <c r="F540" s="72">
        <v>55447.246379999997</v>
      </c>
      <c r="G540" s="72">
        <v>51124.5</v>
      </c>
      <c r="H540" s="71"/>
      <c r="I540" s="71"/>
      <c r="J540" s="71"/>
      <c r="K540" s="71"/>
      <c r="L540" s="100"/>
    </row>
    <row r="541" spans="1:12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100"/>
    </row>
    <row r="542" spans="1:12" ht="15.5">
      <c r="A542" s="74" t="s">
        <v>615</v>
      </c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</row>
    <row r="543" spans="1:12" ht="15.5">
      <c r="A543" s="74" t="s">
        <v>616</v>
      </c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</row>
    <row r="544" spans="1:12">
      <c r="A544" s="69" t="s">
        <v>617</v>
      </c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</row>
    <row r="545" spans="1:12">
      <c r="A545" s="71" t="s">
        <v>620</v>
      </c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</row>
    <row r="546" spans="1:12" ht="15.5">
      <c r="A546" s="82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</row>
    <row r="547" spans="1:12" ht="15.5">
      <c r="A547" s="75"/>
      <c r="B547" s="71" t="s">
        <v>926</v>
      </c>
      <c r="C547" s="71"/>
      <c r="D547" s="71"/>
      <c r="E547" s="71"/>
      <c r="F547" s="71"/>
      <c r="G547" s="71"/>
      <c r="H547" s="71"/>
      <c r="I547" s="71"/>
      <c r="J547" s="71"/>
      <c r="K547" s="71"/>
      <c r="L547" s="71"/>
    </row>
    <row r="548" spans="1:12">
      <c r="A548" s="71" t="s">
        <v>706</v>
      </c>
      <c r="B548" s="71">
        <v>350</v>
      </c>
      <c r="C548" s="71"/>
      <c r="D548" s="71"/>
      <c r="E548" s="71"/>
      <c r="F548" s="71"/>
      <c r="G548" s="71"/>
      <c r="H548" s="71"/>
      <c r="I548" s="71"/>
      <c r="J548" s="71"/>
      <c r="K548" s="71"/>
      <c r="L548" s="71"/>
    </row>
    <row r="549" spans="1:12" ht="15.5">
      <c r="A549" s="75" t="s">
        <v>415</v>
      </c>
      <c r="B549" s="72">
        <v>1345</v>
      </c>
      <c r="C549" s="71"/>
      <c r="D549" s="71"/>
      <c r="E549" s="71"/>
      <c r="F549" s="71"/>
      <c r="G549" s="71"/>
      <c r="H549" s="71"/>
      <c r="I549" s="71"/>
      <c r="J549" s="71"/>
      <c r="K549" s="71"/>
      <c r="L549" s="71"/>
    </row>
    <row r="550" spans="1:12" ht="15.5">
      <c r="A550" s="75" t="s">
        <v>250</v>
      </c>
      <c r="B550" s="72">
        <v>300</v>
      </c>
      <c r="C550" s="71"/>
      <c r="D550" s="71"/>
      <c r="E550" s="71"/>
      <c r="F550" s="71"/>
      <c r="G550" s="71"/>
      <c r="H550" s="71"/>
      <c r="I550" s="71"/>
      <c r="J550" s="71"/>
      <c r="K550" s="71"/>
      <c r="L550" s="71"/>
    </row>
    <row r="551" spans="1:12">
      <c r="A551" s="10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</row>
    <row r="552" spans="1:12" ht="15.5">
      <c r="A552" s="74" t="s">
        <v>927</v>
      </c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</row>
    <row r="553" spans="1:12" ht="15.5">
      <c r="A553" s="80" t="s">
        <v>928</v>
      </c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</row>
    <row r="554" spans="1:12" ht="15.5">
      <c r="A554" s="75" t="s">
        <v>929</v>
      </c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</row>
    <row r="555" spans="1:12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</row>
    <row r="556" spans="1:12" ht="15.5">
      <c r="A556" s="75" t="s">
        <v>666</v>
      </c>
      <c r="B556" s="75" t="s">
        <v>930</v>
      </c>
      <c r="C556" s="71" t="s">
        <v>517</v>
      </c>
      <c r="D556" s="71"/>
      <c r="E556" s="71"/>
      <c r="F556" s="71"/>
      <c r="G556" s="71"/>
      <c r="H556" s="71"/>
      <c r="I556" s="71"/>
      <c r="J556" s="71"/>
      <c r="K556" s="71"/>
      <c r="L556" s="71"/>
    </row>
    <row r="557" spans="1:12" ht="15.5">
      <c r="A557" s="75" t="s">
        <v>649</v>
      </c>
      <c r="B557" s="71">
        <v>18</v>
      </c>
      <c r="C557" s="71"/>
      <c r="D557" s="71"/>
      <c r="E557" s="71"/>
      <c r="F557" s="71"/>
      <c r="G557" s="71"/>
      <c r="H557" s="71"/>
      <c r="I557" s="71"/>
      <c r="J557" s="71"/>
      <c r="K557" s="71"/>
      <c r="L557" s="71"/>
    </row>
    <row r="558" spans="1:12" ht="15.5">
      <c r="A558" s="75" t="s">
        <v>931</v>
      </c>
      <c r="B558" s="72">
        <v>36068</v>
      </c>
      <c r="C558" s="71"/>
      <c r="D558" s="71"/>
      <c r="E558" s="71"/>
      <c r="F558" s="71"/>
      <c r="G558" s="71"/>
      <c r="H558" s="71"/>
      <c r="I558" s="71"/>
      <c r="J558" s="71"/>
      <c r="K558" s="71"/>
      <c r="L558" s="71"/>
    </row>
    <row r="559" spans="1:12" ht="15.5">
      <c r="A559" s="75" t="s">
        <v>932</v>
      </c>
      <c r="B559" s="71" t="s">
        <v>933</v>
      </c>
      <c r="C559" s="71" t="s">
        <v>934</v>
      </c>
      <c r="D559" s="71"/>
      <c r="E559" s="71"/>
      <c r="F559" s="71"/>
      <c r="G559" s="71"/>
      <c r="H559" s="71"/>
      <c r="I559" s="71"/>
      <c r="J559" s="71"/>
      <c r="K559" s="71"/>
      <c r="L559" s="71"/>
    </row>
    <row r="560" spans="1:12">
      <c r="A560" s="71" t="s">
        <v>415</v>
      </c>
      <c r="B560" s="71">
        <v>694</v>
      </c>
      <c r="C560" s="71"/>
      <c r="D560" s="71"/>
      <c r="E560" s="71"/>
      <c r="F560" s="71"/>
      <c r="G560" s="71"/>
      <c r="H560" s="71"/>
      <c r="I560" s="71"/>
      <c r="J560" s="71"/>
      <c r="K560" s="71"/>
      <c r="L560" s="71"/>
    </row>
    <row r="561" spans="1:12">
      <c r="A561" s="71" t="s">
        <v>250</v>
      </c>
      <c r="B561" s="71">
        <v>1</v>
      </c>
      <c r="C561" s="71"/>
      <c r="D561" s="71"/>
      <c r="E561" s="71"/>
      <c r="F561" s="71"/>
      <c r="G561" s="71"/>
      <c r="H561" s="102"/>
      <c r="I561" s="71"/>
      <c r="J561" s="71"/>
      <c r="K561" s="71"/>
      <c r="L561" s="71"/>
    </row>
    <row r="562" spans="1:12" ht="15.5">
      <c r="A562" s="75" t="s">
        <v>248</v>
      </c>
      <c r="B562" s="71" t="s">
        <v>935</v>
      </c>
      <c r="C562" s="71"/>
      <c r="D562" s="71"/>
      <c r="E562" s="71"/>
      <c r="F562" s="71"/>
      <c r="G562" s="71"/>
      <c r="H562" s="71"/>
      <c r="I562" s="71"/>
      <c r="J562" s="71"/>
      <c r="K562" s="71"/>
      <c r="L562" s="71"/>
    </row>
    <row r="563" spans="1:12" ht="15.5">
      <c r="A563" s="82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</row>
    <row r="564" spans="1:12" ht="15.5">
      <c r="A564" s="75" t="s">
        <v>666</v>
      </c>
      <c r="B564" s="75" t="s">
        <v>936</v>
      </c>
      <c r="C564" s="71" t="s">
        <v>517</v>
      </c>
      <c r="D564" s="71"/>
      <c r="E564" s="71"/>
      <c r="F564" s="71"/>
      <c r="G564" s="71"/>
      <c r="H564" s="71"/>
      <c r="I564" s="71"/>
      <c r="J564" s="71"/>
      <c r="K564" s="71"/>
      <c r="L564" s="71"/>
    </row>
    <row r="565" spans="1:12" ht="15.5">
      <c r="A565" s="75" t="s">
        <v>649</v>
      </c>
      <c r="B565" s="72">
        <v>18</v>
      </c>
      <c r="C565" s="71" t="s">
        <v>937</v>
      </c>
      <c r="D565" s="71"/>
      <c r="E565" s="71"/>
      <c r="F565" s="71"/>
      <c r="G565" s="71"/>
      <c r="H565" s="71"/>
      <c r="I565" s="71"/>
      <c r="J565" s="71"/>
      <c r="K565" s="71"/>
      <c r="L565" s="71"/>
    </row>
    <row r="566" spans="1:12" ht="15.5">
      <c r="A566" s="75" t="s">
        <v>415</v>
      </c>
      <c r="B566" s="72">
        <v>726</v>
      </c>
      <c r="C566" s="71"/>
      <c r="D566" s="71"/>
      <c r="E566" s="71"/>
      <c r="F566" s="71"/>
      <c r="G566" s="71"/>
      <c r="H566" s="71"/>
      <c r="I566" s="71"/>
      <c r="J566" s="71"/>
      <c r="K566" s="71"/>
      <c r="L566" s="71"/>
    </row>
    <row r="567" spans="1:12" ht="15.5">
      <c r="A567" s="75" t="s">
        <v>249</v>
      </c>
      <c r="B567" s="72">
        <v>467</v>
      </c>
      <c r="C567" s="71"/>
      <c r="D567" s="71"/>
      <c r="E567" s="71"/>
      <c r="F567" s="71"/>
      <c r="G567" s="71"/>
      <c r="H567" s="71"/>
      <c r="I567" s="71"/>
      <c r="J567" s="71"/>
      <c r="K567" s="71"/>
      <c r="L567" s="71"/>
    </row>
    <row r="568" spans="1:12" ht="15.5">
      <c r="A568" s="75" t="s">
        <v>250</v>
      </c>
      <c r="B568" s="72">
        <v>484</v>
      </c>
      <c r="C568" s="71"/>
      <c r="D568" s="71"/>
      <c r="E568" s="71"/>
      <c r="F568" s="71"/>
      <c r="G568" s="71"/>
      <c r="H568" s="71"/>
      <c r="I568" s="71"/>
      <c r="J568" s="71"/>
      <c r="K568" s="71"/>
      <c r="L568" s="71"/>
    </row>
    <row r="569" spans="1:12" ht="15.5">
      <c r="A569" s="75" t="s">
        <v>248</v>
      </c>
      <c r="B569" s="72" t="s">
        <v>935</v>
      </c>
      <c r="C569" s="71"/>
      <c r="D569" s="71"/>
      <c r="E569" s="71"/>
      <c r="F569" s="71"/>
      <c r="G569" s="71"/>
      <c r="H569" s="71"/>
      <c r="I569" s="71"/>
      <c r="J569" s="71"/>
      <c r="K569" s="71"/>
      <c r="L569" s="71"/>
    </row>
    <row r="570" spans="1:12" ht="15.5">
      <c r="A570" s="75" t="s">
        <v>233</v>
      </c>
      <c r="B570" s="93">
        <v>30133</v>
      </c>
      <c r="C570" s="71" t="s">
        <v>938</v>
      </c>
      <c r="D570" s="71"/>
      <c r="E570" s="71"/>
      <c r="F570" s="71"/>
      <c r="G570" s="71"/>
      <c r="H570" s="71"/>
      <c r="I570" s="71"/>
      <c r="J570" s="71"/>
      <c r="K570" s="71"/>
      <c r="L570" s="71"/>
    </row>
    <row r="571" spans="1:12">
      <c r="A571" s="71" t="s">
        <v>413</v>
      </c>
      <c r="B571" s="72">
        <v>179683.9595</v>
      </c>
      <c r="C571" s="71"/>
      <c r="D571" s="71"/>
      <c r="E571" s="71"/>
      <c r="F571" s="71"/>
      <c r="G571" s="71"/>
      <c r="H571" s="71"/>
      <c r="I571" s="71"/>
      <c r="J571" s="71"/>
      <c r="K571" s="71"/>
      <c r="L571" s="71"/>
    </row>
    <row r="572" spans="1:1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</row>
    <row r="573" spans="1:12" ht="15.5">
      <c r="A573" s="74" t="s">
        <v>939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</row>
    <row r="574" spans="1:12" ht="15.5">
      <c r="A574" s="80" t="s">
        <v>940</v>
      </c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</row>
    <row r="575" spans="1:12">
      <c r="A575" s="71" t="s">
        <v>941</v>
      </c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</row>
    <row r="576" spans="1:12">
      <c r="A576" s="71" t="s">
        <v>942</v>
      </c>
      <c r="B576" s="71" t="s">
        <v>943</v>
      </c>
      <c r="C576" s="71" t="s">
        <v>944</v>
      </c>
      <c r="D576" s="71" t="s">
        <v>945</v>
      </c>
      <c r="E576" s="71" t="s">
        <v>517</v>
      </c>
      <c r="F576" s="71"/>
      <c r="G576" s="71"/>
      <c r="H576" s="71"/>
      <c r="I576" s="71"/>
      <c r="J576" s="71"/>
      <c r="K576" s="71"/>
      <c r="L576" s="71"/>
    </row>
    <row r="577" spans="1:12">
      <c r="A577" s="71" t="s">
        <v>649</v>
      </c>
      <c r="B577" s="71" t="s">
        <v>946</v>
      </c>
      <c r="C577" s="71" t="s">
        <v>947</v>
      </c>
      <c r="D577" s="71">
        <v>40</v>
      </c>
      <c r="E577" s="71" t="s">
        <v>948</v>
      </c>
      <c r="F577" s="71"/>
      <c r="G577" s="71"/>
      <c r="H577" s="71"/>
      <c r="I577" s="71"/>
      <c r="J577" s="71"/>
      <c r="K577" s="71"/>
      <c r="L577" s="71"/>
    </row>
    <row r="578" spans="1:12">
      <c r="A578" s="71" t="s">
        <v>653</v>
      </c>
      <c r="B578" s="71" t="s">
        <v>949</v>
      </c>
      <c r="C578" s="71" t="s">
        <v>950</v>
      </c>
      <c r="D578" s="71" t="s">
        <v>935</v>
      </c>
      <c r="E578" s="71"/>
      <c r="F578" s="71"/>
      <c r="G578" s="71"/>
      <c r="H578" s="71"/>
      <c r="I578" s="71"/>
      <c r="J578" s="71"/>
      <c r="K578" s="71"/>
      <c r="L578" s="71"/>
    </row>
    <row r="579" spans="1:12">
      <c r="A579" s="71" t="s">
        <v>413</v>
      </c>
      <c r="B579" s="90">
        <v>170000</v>
      </c>
      <c r="C579" s="71" t="s">
        <v>951</v>
      </c>
      <c r="D579" s="71" t="s">
        <v>952</v>
      </c>
      <c r="E579" s="71"/>
      <c r="F579" s="71"/>
      <c r="G579" s="71"/>
      <c r="H579" s="71"/>
      <c r="I579" s="71"/>
      <c r="J579" s="71"/>
      <c r="K579" s="71"/>
      <c r="L579" s="71"/>
    </row>
    <row r="580" spans="1:12">
      <c r="A580" s="71" t="s">
        <v>415</v>
      </c>
      <c r="B580" s="71" t="s">
        <v>953</v>
      </c>
      <c r="C580" s="71" t="s">
        <v>954</v>
      </c>
      <c r="D580" s="71">
        <v>1390</v>
      </c>
      <c r="E580" s="71"/>
      <c r="F580" s="71"/>
      <c r="G580" s="71"/>
      <c r="H580" s="71"/>
      <c r="I580" s="71"/>
      <c r="J580" s="71"/>
      <c r="K580" s="71"/>
      <c r="L580" s="71"/>
    </row>
    <row r="581" spans="1:12">
      <c r="A581" s="71" t="s">
        <v>249</v>
      </c>
      <c r="B581" s="71" t="s">
        <v>955</v>
      </c>
      <c r="C581" s="71" t="s">
        <v>956</v>
      </c>
      <c r="D581" s="71">
        <v>390</v>
      </c>
      <c r="E581" s="71"/>
      <c r="F581" s="71"/>
      <c r="G581" s="71"/>
      <c r="H581" s="71"/>
      <c r="I581" s="71"/>
      <c r="J581" s="71"/>
      <c r="K581" s="71"/>
      <c r="L581" s="71"/>
    </row>
    <row r="582" spans="1:12">
      <c r="A582" s="71" t="s">
        <v>250</v>
      </c>
      <c r="B582" s="71" t="s">
        <v>957</v>
      </c>
      <c r="C582" s="71" t="s">
        <v>958</v>
      </c>
      <c r="D582" s="71">
        <v>220</v>
      </c>
      <c r="E582" s="71"/>
      <c r="F582" s="71"/>
      <c r="G582" s="71"/>
      <c r="H582" s="71"/>
      <c r="I582" s="71"/>
      <c r="J582" s="71"/>
      <c r="K582" s="71"/>
      <c r="L582" s="71"/>
    </row>
    <row r="583" spans="1:12">
      <c r="A583" s="71" t="s">
        <v>248</v>
      </c>
      <c r="B583" s="71" t="s">
        <v>959</v>
      </c>
      <c r="C583" s="71" t="s">
        <v>960</v>
      </c>
      <c r="D583" s="71" t="s">
        <v>935</v>
      </c>
      <c r="E583" s="71"/>
      <c r="F583" s="71"/>
      <c r="G583" s="71"/>
      <c r="H583" s="71"/>
      <c r="I583" s="71"/>
      <c r="J583" s="71"/>
      <c r="K583" s="71"/>
      <c r="L583" s="71"/>
    </row>
    <row r="584" spans="1:12">
      <c r="A584" s="71" t="s">
        <v>239</v>
      </c>
      <c r="B584" s="71" t="s">
        <v>961</v>
      </c>
      <c r="C584" s="71" t="s">
        <v>962</v>
      </c>
      <c r="D584" s="90">
        <v>19000</v>
      </c>
      <c r="E584" s="71"/>
      <c r="F584" s="71"/>
      <c r="G584" s="71"/>
      <c r="H584" s="71"/>
      <c r="I584" s="71"/>
      <c r="J584" s="71"/>
      <c r="K584" s="71"/>
      <c r="L584" s="71"/>
    </row>
    <row r="585" spans="1:12">
      <c r="A585" s="71" t="s">
        <v>963</v>
      </c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</row>
    <row r="586" spans="1:12">
      <c r="A586" s="71" t="s">
        <v>964</v>
      </c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</row>
    <row r="587" spans="1:12">
      <c r="A587" s="71" t="s">
        <v>965</v>
      </c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</row>
    <row r="588" spans="1:12">
      <c r="A588" s="71" t="s">
        <v>966</v>
      </c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</row>
    <row r="589" spans="1:12">
      <c r="A589" s="71" t="s">
        <v>967</v>
      </c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</row>
    <row r="590" spans="1:12">
      <c r="A590" s="71" t="s">
        <v>968</v>
      </c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</row>
    <row r="591" spans="1:12">
      <c r="A591" s="71" t="s">
        <v>969</v>
      </c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</row>
    <row r="592" spans="1:12">
      <c r="A592" s="71" t="s">
        <v>970</v>
      </c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</row>
    <row r="593" spans="1:12">
      <c r="A593" s="71" t="s">
        <v>971</v>
      </c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</row>
    <row r="594" spans="1:12" ht="15.5">
      <c r="A594" s="82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</row>
    <row r="595" spans="1:12" ht="15.5">
      <c r="A595" s="82" t="s">
        <v>516</v>
      </c>
      <c r="B595" s="71" t="s">
        <v>972</v>
      </c>
      <c r="C595" s="71" t="s">
        <v>973</v>
      </c>
      <c r="D595" s="71"/>
      <c r="E595" s="71"/>
      <c r="F595" s="71"/>
      <c r="G595" s="71"/>
      <c r="H595" s="71"/>
      <c r="I595" s="71"/>
      <c r="J595" s="71"/>
      <c r="K595" s="71"/>
      <c r="L595" s="71"/>
    </row>
    <row r="596" spans="1:12">
      <c r="A596" s="71" t="s">
        <v>649</v>
      </c>
      <c r="B596" s="72">
        <v>54</v>
      </c>
      <c r="C596" s="72">
        <v>45</v>
      </c>
      <c r="D596" s="71"/>
      <c r="E596" s="71"/>
      <c r="F596" s="71"/>
      <c r="G596" s="71"/>
      <c r="H596" s="71"/>
      <c r="I596" s="71"/>
      <c r="J596" s="71"/>
      <c r="K596" s="71"/>
      <c r="L596" s="71"/>
    </row>
    <row r="597" spans="1:12">
      <c r="A597" s="71" t="s">
        <v>653</v>
      </c>
      <c r="B597" s="72"/>
      <c r="C597" s="72" t="s">
        <v>935</v>
      </c>
      <c r="D597" s="71"/>
      <c r="E597" s="71"/>
      <c r="F597" s="71"/>
      <c r="G597" s="71"/>
      <c r="H597" s="71"/>
      <c r="I597" s="71"/>
      <c r="J597" s="71"/>
      <c r="K597" s="71"/>
      <c r="L597" s="71"/>
    </row>
    <row r="598" spans="1:12">
      <c r="A598" s="71" t="s">
        <v>413</v>
      </c>
      <c r="B598" s="103">
        <v>190000</v>
      </c>
      <c r="C598" s="72"/>
      <c r="D598" s="71"/>
      <c r="E598" s="71"/>
      <c r="F598" s="71"/>
      <c r="G598" s="71"/>
      <c r="H598" s="71"/>
      <c r="I598" s="71"/>
      <c r="J598" s="71"/>
      <c r="K598" s="71"/>
      <c r="L598" s="71"/>
    </row>
    <row r="599" spans="1:12">
      <c r="A599" s="71" t="s">
        <v>415</v>
      </c>
      <c r="B599" s="72">
        <v>907</v>
      </c>
      <c r="C599" s="72">
        <v>2000</v>
      </c>
      <c r="D599" s="71"/>
      <c r="E599" s="71"/>
      <c r="F599" s="71"/>
      <c r="G599" s="71"/>
      <c r="H599" s="71"/>
      <c r="I599" s="71"/>
      <c r="J599" s="71"/>
      <c r="K599" s="71"/>
      <c r="L599" s="71"/>
    </row>
    <row r="600" spans="1:12">
      <c r="A600" s="71" t="s">
        <v>249</v>
      </c>
      <c r="B600" s="72">
        <v>209</v>
      </c>
      <c r="C600" s="72">
        <v>400</v>
      </c>
      <c r="D600" s="71"/>
      <c r="E600" s="71"/>
      <c r="F600" s="71"/>
      <c r="G600" s="71"/>
      <c r="H600" s="71"/>
      <c r="I600" s="71"/>
      <c r="J600" s="71"/>
      <c r="K600" s="71"/>
      <c r="L600" s="71"/>
    </row>
    <row r="601" spans="1:12">
      <c r="A601" s="71" t="s">
        <v>250</v>
      </c>
      <c r="B601" s="72">
        <v>49</v>
      </c>
      <c r="C601" s="72">
        <v>100</v>
      </c>
      <c r="D601" s="71"/>
      <c r="E601" s="71"/>
      <c r="F601" s="71"/>
      <c r="G601" s="71"/>
      <c r="H601" s="71"/>
      <c r="I601" s="71"/>
      <c r="J601" s="71"/>
      <c r="K601" s="71"/>
      <c r="L601" s="71"/>
    </row>
    <row r="602" spans="1:12">
      <c r="A602" s="71" t="s">
        <v>248</v>
      </c>
      <c r="B602" s="72"/>
      <c r="C602" s="72">
        <v>1</v>
      </c>
      <c r="D602" s="71"/>
      <c r="E602" s="71"/>
      <c r="F602" s="71"/>
      <c r="G602" s="71"/>
      <c r="H602" s="71"/>
      <c r="I602" s="71"/>
      <c r="J602" s="71"/>
      <c r="K602" s="71"/>
      <c r="L602" s="71"/>
    </row>
    <row r="603" spans="1:12">
      <c r="A603" s="71" t="s">
        <v>239</v>
      </c>
      <c r="B603" s="72"/>
      <c r="C603" s="103">
        <v>10000</v>
      </c>
      <c r="D603" s="71"/>
      <c r="E603" s="71"/>
      <c r="F603" s="71"/>
      <c r="G603" s="71"/>
      <c r="H603" s="71"/>
      <c r="I603" s="71"/>
      <c r="J603" s="71"/>
      <c r="K603" s="71"/>
      <c r="L603" s="71"/>
    </row>
    <row r="604" spans="1:12" ht="15.5">
      <c r="A604" s="82"/>
      <c r="B604" s="71" t="s">
        <v>974</v>
      </c>
      <c r="C604" s="71"/>
      <c r="D604" s="71"/>
      <c r="E604" s="71"/>
      <c r="F604" s="71"/>
      <c r="G604" s="71"/>
      <c r="H604" s="71"/>
      <c r="I604" s="71"/>
      <c r="J604" s="71"/>
      <c r="K604" s="71"/>
      <c r="L604" s="71"/>
    </row>
    <row r="605" spans="1:12" ht="15.5">
      <c r="A605" s="82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</row>
    <row r="606" spans="1:12">
      <c r="A606" s="71"/>
      <c r="B606" s="71" t="s">
        <v>527</v>
      </c>
      <c r="C606" s="71"/>
      <c r="D606" s="71"/>
      <c r="E606" s="71"/>
      <c r="F606" s="71"/>
      <c r="G606" s="71"/>
      <c r="H606" s="71"/>
      <c r="I606" s="71"/>
      <c r="J606" s="71"/>
      <c r="K606" s="71"/>
      <c r="L606" s="71"/>
    </row>
    <row r="607" spans="1:12">
      <c r="A607" s="71" t="s">
        <v>526</v>
      </c>
      <c r="B607" s="71" t="s">
        <v>944</v>
      </c>
      <c r="C607" s="71"/>
      <c r="D607" s="71"/>
      <c r="E607" s="71"/>
      <c r="F607" s="71"/>
      <c r="G607" s="71"/>
      <c r="H607" s="71"/>
      <c r="I607" s="71"/>
      <c r="J607" s="71"/>
      <c r="K607" s="71"/>
      <c r="L607" s="71"/>
    </row>
    <row r="608" spans="1:12">
      <c r="A608" s="71" t="s">
        <v>528</v>
      </c>
      <c r="B608" s="90">
        <v>119000</v>
      </c>
      <c r="C608" s="71"/>
      <c r="D608" s="71"/>
      <c r="E608" s="71"/>
      <c r="F608" s="71"/>
      <c r="G608" s="71"/>
      <c r="H608" s="71"/>
      <c r="I608" s="71"/>
      <c r="J608" s="71"/>
      <c r="K608" s="71"/>
      <c r="L608" s="71"/>
    </row>
    <row r="609" spans="1:12">
      <c r="A609" s="71" t="s">
        <v>530</v>
      </c>
      <c r="B609" s="90">
        <v>76000</v>
      </c>
      <c r="C609" s="71"/>
      <c r="D609" s="71"/>
      <c r="E609" s="71"/>
      <c r="F609" s="71"/>
      <c r="G609" s="71"/>
      <c r="H609" s="71"/>
      <c r="I609" s="71"/>
      <c r="J609" s="71"/>
      <c r="K609" s="71"/>
      <c r="L609" s="71"/>
    </row>
    <row r="610" spans="1:12">
      <c r="A610" s="71"/>
      <c r="B610" s="71" t="s">
        <v>531</v>
      </c>
      <c r="C610" s="71" t="s">
        <v>532</v>
      </c>
      <c r="D610" s="71"/>
      <c r="E610" s="71"/>
      <c r="F610" s="71"/>
      <c r="G610" s="71"/>
      <c r="H610" s="71"/>
      <c r="I610" s="71"/>
      <c r="J610" s="71"/>
      <c r="K610" s="71"/>
      <c r="L610" s="71"/>
    </row>
    <row r="611" spans="1:12">
      <c r="A611" s="71"/>
      <c r="B611" s="71" t="s">
        <v>944</v>
      </c>
      <c r="C611" s="71" t="s">
        <v>944</v>
      </c>
      <c r="D611" s="71"/>
      <c r="E611" s="71"/>
      <c r="F611" s="71"/>
      <c r="G611" s="71"/>
      <c r="H611" s="71"/>
      <c r="I611" s="71"/>
      <c r="J611" s="71"/>
      <c r="K611" s="71"/>
      <c r="L611" s="71"/>
    </row>
    <row r="612" spans="1:12">
      <c r="A612" s="71" t="s">
        <v>534</v>
      </c>
      <c r="B612" s="90">
        <v>19600000</v>
      </c>
      <c r="C612" s="103">
        <v>19600</v>
      </c>
      <c r="D612" s="71"/>
      <c r="E612" s="71"/>
      <c r="F612" s="71"/>
      <c r="G612" s="71"/>
      <c r="H612" s="71"/>
      <c r="I612" s="71"/>
      <c r="J612" s="71"/>
      <c r="K612" s="71"/>
      <c r="L612" s="71"/>
    </row>
    <row r="613" spans="1:12">
      <c r="A613" s="71" t="s">
        <v>536</v>
      </c>
      <c r="B613" s="90">
        <v>30400000</v>
      </c>
      <c r="C613" s="103">
        <v>30400</v>
      </c>
      <c r="D613" s="71"/>
      <c r="E613" s="71"/>
      <c r="F613" s="71"/>
      <c r="G613" s="71"/>
      <c r="H613" s="71"/>
      <c r="I613" s="71"/>
      <c r="J613" s="71"/>
      <c r="K613" s="71"/>
      <c r="L613" s="71"/>
    </row>
    <row r="614" spans="1:12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</row>
    <row r="615" spans="1:12" ht="15.5">
      <c r="A615" s="74" t="s">
        <v>975</v>
      </c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</row>
    <row r="616" spans="1:12" ht="15.5">
      <c r="A616" s="80" t="s">
        <v>976</v>
      </c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</row>
    <row r="617" spans="1:12">
      <c r="A617" s="71" t="s">
        <v>977</v>
      </c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</row>
    <row r="618" spans="1:12">
      <c r="A618" s="71" t="s">
        <v>978</v>
      </c>
      <c r="B618" s="71" t="s">
        <v>979</v>
      </c>
      <c r="C618" s="71" t="s">
        <v>980</v>
      </c>
      <c r="D618" s="71" t="s">
        <v>517</v>
      </c>
      <c r="E618" s="71"/>
      <c r="F618" s="71"/>
      <c r="G618" s="71"/>
      <c r="H618" s="71"/>
      <c r="I618" s="71"/>
      <c r="J618" s="71"/>
      <c r="K618" s="71"/>
      <c r="L618" s="71"/>
    </row>
    <row r="619" spans="1:12">
      <c r="A619" s="71" t="s">
        <v>649</v>
      </c>
      <c r="B619" s="71">
        <v>90</v>
      </c>
      <c r="C619" s="72">
        <v>33</v>
      </c>
      <c r="D619" s="71"/>
      <c r="E619" s="71"/>
      <c r="F619" s="71"/>
      <c r="G619" s="71"/>
      <c r="H619" s="71"/>
      <c r="I619" s="71"/>
      <c r="J619" s="71"/>
      <c r="K619" s="71"/>
      <c r="L619" s="71"/>
    </row>
    <row r="620" spans="1:12">
      <c r="A620" s="71" t="s">
        <v>653</v>
      </c>
      <c r="B620" s="71">
        <v>5.0000000000000001E-3</v>
      </c>
      <c r="C620" s="72">
        <v>0</v>
      </c>
      <c r="D620" s="71"/>
      <c r="E620" s="71"/>
      <c r="F620" s="71"/>
      <c r="G620" s="71"/>
      <c r="H620" s="71"/>
      <c r="I620" s="71"/>
      <c r="J620" s="71"/>
      <c r="K620" s="71"/>
      <c r="L620" s="71"/>
    </row>
    <row r="621" spans="1:12">
      <c r="A621" s="71" t="s">
        <v>415</v>
      </c>
      <c r="B621" s="71">
        <v>4000</v>
      </c>
      <c r="C621" s="72">
        <v>1481</v>
      </c>
      <c r="D621" s="71"/>
      <c r="E621" s="71"/>
      <c r="F621" s="71"/>
      <c r="G621" s="71"/>
      <c r="H621" s="71"/>
      <c r="I621" s="71"/>
      <c r="J621" s="71"/>
      <c r="K621" s="71"/>
      <c r="L621" s="71"/>
    </row>
    <row r="622" spans="1:12">
      <c r="A622" s="71" t="s">
        <v>249</v>
      </c>
      <c r="B622" s="71">
        <v>800</v>
      </c>
      <c r="C622" s="72">
        <v>296</v>
      </c>
      <c r="D622" s="71"/>
      <c r="E622" s="71"/>
      <c r="F622" s="71"/>
      <c r="G622" s="71"/>
      <c r="H622" s="71"/>
      <c r="I622" s="71"/>
      <c r="J622" s="71"/>
      <c r="K622" s="71"/>
      <c r="L622" s="71"/>
    </row>
    <row r="623" spans="1:12">
      <c r="A623" s="71" t="s">
        <v>250</v>
      </c>
      <c r="B623" s="71">
        <v>200</v>
      </c>
      <c r="C623" s="72">
        <v>74</v>
      </c>
      <c r="D623" s="71"/>
      <c r="E623" s="71"/>
      <c r="F623" s="71"/>
      <c r="G623" s="71"/>
      <c r="H623" s="71"/>
      <c r="I623" s="71"/>
      <c r="J623" s="71"/>
      <c r="K623" s="71"/>
      <c r="L623" s="71"/>
    </row>
    <row r="624" spans="1:12">
      <c r="A624" s="71" t="s">
        <v>248</v>
      </c>
      <c r="B624" s="71">
        <v>2</v>
      </c>
      <c r="C624" s="72">
        <v>1</v>
      </c>
      <c r="D624" s="71"/>
      <c r="E624" s="71"/>
      <c r="F624" s="71"/>
      <c r="G624" s="71"/>
      <c r="H624" s="71"/>
      <c r="I624" s="71"/>
      <c r="J624" s="71"/>
      <c r="K624" s="71"/>
      <c r="L624" s="71"/>
    </row>
    <row r="625" spans="1:12">
      <c r="A625" s="71" t="s">
        <v>239</v>
      </c>
      <c r="B625" s="71">
        <v>20000</v>
      </c>
      <c r="C625" s="72">
        <v>7407</v>
      </c>
      <c r="D625" s="71"/>
      <c r="E625" s="71"/>
      <c r="F625" s="71"/>
      <c r="G625" s="71"/>
      <c r="H625" s="71"/>
      <c r="I625" s="71"/>
      <c r="J625" s="71"/>
      <c r="K625" s="71"/>
      <c r="L625" s="71"/>
    </row>
    <row r="626" spans="1:12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</row>
    <row r="627" spans="1:12" ht="15.5">
      <c r="A627" s="74" t="s">
        <v>981</v>
      </c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</row>
    <row r="628" spans="1:12">
      <c r="A628" s="71">
        <v>2014</v>
      </c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</row>
    <row r="629" spans="1:12">
      <c r="A629" s="71" t="s">
        <v>982</v>
      </c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</row>
    <row r="630" spans="1:12">
      <c r="A630" s="71" t="s">
        <v>983</v>
      </c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</row>
    <row r="631" spans="1:12">
      <c r="A631" s="71" t="s">
        <v>516</v>
      </c>
      <c r="B631" s="71" t="s">
        <v>984</v>
      </c>
      <c r="C631" s="71"/>
      <c r="D631" s="71"/>
      <c r="E631" s="71"/>
      <c r="F631" s="71"/>
      <c r="G631" s="71"/>
      <c r="H631" s="71"/>
      <c r="I631" s="71"/>
      <c r="J631" s="71"/>
      <c r="K631" s="71"/>
      <c r="L631" s="71"/>
    </row>
    <row r="632" spans="1:12">
      <c r="A632" s="71" t="s">
        <v>985</v>
      </c>
      <c r="B632" s="72">
        <v>50400</v>
      </c>
      <c r="C632" s="71"/>
      <c r="D632" s="71"/>
      <c r="E632" s="71"/>
      <c r="F632" s="71"/>
      <c r="G632" s="71"/>
      <c r="H632" s="71"/>
      <c r="I632" s="71"/>
      <c r="J632" s="71"/>
      <c r="K632" s="71"/>
      <c r="L632" s="71"/>
    </row>
    <row r="633" spans="1:12">
      <c r="A633" s="71" t="s">
        <v>413</v>
      </c>
      <c r="B633" s="71">
        <v>383900</v>
      </c>
      <c r="C633" s="71"/>
      <c r="D633" s="71"/>
      <c r="E633" s="71"/>
      <c r="F633" s="71"/>
      <c r="G633" s="71"/>
      <c r="H633" s="71"/>
      <c r="I633" s="71"/>
      <c r="J633" s="71"/>
      <c r="K633" s="71"/>
      <c r="L633" s="71"/>
    </row>
    <row r="634" spans="1:12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</row>
    <row r="635" spans="1:12">
      <c r="A635" s="71"/>
      <c r="B635" s="71" t="s">
        <v>583</v>
      </c>
      <c r="C635" s="71"/>
      <c r="D635" s="71"/>
      <c r="E635" s="71"/>
      <c r="F635" s="71"/>
      <c r="G635" s="71"/>
      <c r="H635" s="71"/>
      <c r="I635" s="71"/>
      <c r="J635" s="71"/>
      <c r="K635" s="71"/>
      <c r="L635" s="71"/>
    </row>
    <row r="636" spans="1:12">
      <c r="A636" s="71" t="s">
        <v>526</v>
      </c>
      <c r="B636" s="71" t="s">
        <v>986</v>
      </c>
      <c r="C636" s="71"/>
      <c r="D636" s="71"/>
      <c r="E636" s="71"/>
      <c r="F636" s="71"/>
      <c r="G636" s="71"/>
      <c r="H636" s="71"/>
      <c r="I636" s="71"/>
      <c r="J636" s="71"/>
      <c r="K636" s="71"/>
      <c r="L636" s="71"/>
    </row>
    <row r="637" spans="1:12">
      <c r="A637" s="71" t="s">
        <v>528</v>
      </c>
      <c r="B637" s="71">
        <v>239937.5</v>
      </c>
      <c r="C637" s="71"/>
      <c r="D637" s="71"/>
      <c r="E637" s="71"/>
      <c r="F637" s="71"/>
      <c r="G637" s="71"/>
      <c r="H637" s="71"/>
      <c r="I637" s="71"/>
      <c r="J637" s="71"/>
      <c r="K637" s="71"/>
      <c r="L637" s="71"/>
    </row>
    <row r="638" spans="1:12">
      <c r="A638" s="71" t="s">
        <v>530</v>
      </c>
      <c r="B638" s="71">
        <v>153560</v>
      </c>
      <c r="C638" s="71"/>
      <c r="D638" s="71"/>
      <c r="E638" s="71"/>
      <c r="F638" s="71"/>
      <c r="G638" s="71"/>
      <c r="H638" s="71"/>
      <c r="I638" s="71"/>
      <c r="J638" s="71"/>
      <c r="K638" s="71"/>
      <c r="L638" s="71"/>
    </row>
    <row r="639" spans="1:12">
      <c r="A639" s="71"/>
      <c r="B639" s="71" t="s">
        <v>531</v>
      </c>
      <c r="C639" s="71" t="s">
        <v>532</v>
      </c>
      <c r="D639" s="71"/>
      <c r="E639" s="71"/>
      <c r="F639" s="71"/>
      <c r="G639" s="71"/>
      <c r="H639" s="71"/>
      <c r="I639" s="71"/>
      <c r="J639" s="71"/>
      <c r="K639" s="71"/>
      <c r="L639" s="71"/>
    </row>
    <row r="640" spans="1:12">
      <c r="A640" s="71"/>
      <c r="B640" s="71" t="s">
        <v>986</v>
      </c>
      <c r="C640" s="71" t="s">
        <v>986</v>
      </c>
      <c r="D640" s="71"/>
      <c r="E640" s="71"/>
      <c r="F640" s="71"/>
      <c r="G640" s="71"/>
      <c r="H640" s="71"/>
      <c r="I640" s="71"/>
      <c r="J640" s="71"/>
      <c r="K640" s="71"/>
      <c r="L640" s="71"/>
    </row>
    <row r="641" spans="1:18">
      <c r="A641" s="71" t="s">
        <v>534</v>
      </c>
      <c r="B641" s="71">
        <v>39589687.5</v>
      </c>
      <c r="C641" s="72">
        <v>39589.6875</v>
      </c>
      <c r="D641" s="71"/>
      <c r="E641" s="71"/>
      <c r="F641" s="71"/>
      <c r="G641" s="71"/>
      <c r="H641" s="71"/>
      <c r="I641" s="71"/>
      <c r="J641" s="71"/>
      <c r="K641" s="71"/>
      <c r="L641" s="71"/>
    </row>
    <row r="642" spans="1:18">
      <c r="A642" s="71" t="s">
        <v>536</v>
      </c>
      <c r="B642" s="71">
        <v>61424000</v>
      </c>
      <c r="C642" s="72">
        <v>61424</v>
      </c>
      <c r="D642" s="71"/>
      <c r="E642" s="71"/>
      <c r="F642" s="71"/>
      <c r="G642" s="71"/>
      <c r="H642" s="71"/>
      <c r="I642" s="71"/>
      <c r="J642" s="71"/>
      <c r="K642" s="71"/>
      <c r="L642" s="71"/>
    </row>
    <row r="645" spans="1:18" s="88" customFormat="1">
      <c r="A645" s="88" t="s">
        <v>987</v>
      </c>
    </row>
    <row r="646" spans="1:18" ht="15.5">
      <c r="A646" s="74" t="s">
        <v>988</v>
      </c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</row>
    <row r="647" spans="1:18" ht="15.5">
      <c r="A647" s="74" t="s">
        <v>989</v>
      </c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</row>
    <row r="648" spans="1:18" ht="15.5">
      <c r="A648" s="80" t="s">
        <v>990</v>
      </c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</row>
    <row r="649" spans="1:18">
      <c r="A649" s="71" t="s">
        <v>991</v>
      </c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</row>
    <row r="650" spans="1:18">
      <c r="A650" s="71" t="s">
        <v>992</v>
      </c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</row>
    <row r="651" spans="1:18">
      <c r="A651" s="71" t="s">
        <v>480</v>
      </c>
      <c r="B651" s="71" t="s">
        <v>993</v>
      </c>
      <c r="C651" s="71" t="s">
        <v>994</v>
      </c>
      <c r="D651" s="71" t="s">
        <v>517</v>
      </c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</row>
    <row r="652" spans="1:18">
      <c r="A652" s="71" t="s">
        <v>239</v>
      </c>
      <c r="B652" s="71">
        <v>1.5E-3</v>
      </c>
      <c r="C652" s="71">
        <v>2.3E-3</v>
      </c>
      <c r="D652" s="71" t="s">
        <v>995</v>
      </c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</row>
    <row r="653" spans="1:18">
      <c r="A653" s="71" t="s">
        <v>415</v>
      </c>
      <c r="B653" s="71">
        <v>2.0000000000000002E-5</v>
      </c>
      <c r="C653" s="71">
        <v>2.4000000000000001E-5</v>
      </c>
      <c r="D653" s="71" t="s">
        <v>996</v>
      </c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</row>
    <row r="654" spans="1:18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</row>
    <row r="655" spans="1:18">
      <c r="A655" s="71" t="s">
        <v>997</v>
      </c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</row>
    <row r="656" spans="1:18">
      <c r="A656" s="71" t="s">
        <v>998</v>
      </c>
      <c r="B656" s="71">
        <v>4800000000</v>
      </c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</row>
    <row r="657" spans="1:18">
      <c r="A657" s="71" t="s">
        <v>999</v>
      </c>
      <c r="B657" s="90">
        <v>120000000000</v>
      </c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</row>
    <row r="658" spans="1:18">
      <c r="A658" s="71" t="s">
        <v>1000</v>
      </c>
      <c r="B658" s="71">
        <v>120</v>
      </c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</row>
    <row r="659" spans="1:18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</row>
    <row r="660" spans="1:18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</row>
    <row r="661" spans="1:18">
      <c r="A661" s="71" t="s">
        <v>1001</v>
      </c>
      <c r="B661" s="71" t="s">
        <v>993</v>
      </c>
      <c r="C661" s="71" t="s">
        <v>994</v>
      </c>
      <c r="D661" s="71" t="s">
        <v>517</v>
      </c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</row>
    <row r="662" spans="1:18">
      <c r="A662" s="71" t="s">
        <v>239</v>
      </c>
      <c r="B662" s="71">
        <v>180000000</v>
      </c>
      <c r="C662" s="71">
        <v>276000000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</row>
    <row r="663" spans="1:18">
      <c r="A663" s="71" t="s">
        <v>415</v>
      </c>
      <c r="B663" s="71">
        <v>2400000</v>
      </c>
      <c r="C663" s="71">
        <v>2880000</v>
      </c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</row>
    <row r="664" spans="1:18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</row>
    <row r="665" spans="1:18">
      <c r="A665" s="71" t="s">
        <v>1002</v>
      </c>
      <c r="B665" s="71" t="s">
        <v>993</v>
      </c>
      <c r="C665" s="71" t="s">
        <v>994</v>
      </c>
      <c r="D665" s="71" t="s">
        <v>1003</v>
      </c>
      <c r="E665" s="71" t="s">
        <v>517</v>
      </c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</row>
    <row r="666" spans="1:18">
      <c r="A666" s="71" t="s">
        <v>239</v>
      </c>
      <c r="B666" s="73">
        <v>300000</v>
      </c>
      <c r="C666" s="73">
        <v>460000</v>
      </c>
      <c r="D666" s="72">
        <v>1.5333333330000001</v>
      </c>
      <c r="E666" s="71" t="s">
        <v>1004</v>
      </c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</row>
    <row r="667" spans="1:18">
      <c r="A667" s="71" t="s">
        <v>415</v>
      </c>
      <c r="B667" s="73">
        <v>4000</v>
      </c>
      <c r="C667" s="73">
        <v>4800</v>
      </c>
      <c r="D667" s="72">
        <v>1.2</v>
      </c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</row>
    <row r="668" spans="1:18">
      <c r="A668" s="71" t="s">
        <v>1005</v>
      </c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</row>
    <row r="669" spans="1:18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</row>
    <row r="670" spans="1:18" ht="15.5">
      <c r="A670" s="74" t="s">
        <v>693</v>
      </c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</row>
    <row r="671" spans="1:18" ht="15.5">
      <c r="A671" s="74" t="s">
        <v>1006</v>
      </c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</row>
    <row r="672" spans="1:18" ht="15.5">
      <c r="A672" s="80" t="s">
        <v>1007</v>
      </c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</row>
    <row r="673" spans="1:18">
      <c r="A673" s="71" t="s">
        <v>666</v>
      </c>
      <c r="B673" s="71" t="s">
        <v>692</v>
      </c>
      <c r="C673" s="71" t="s">
        <v>1008</v>
      </c>
      <c r="D673" s="71" t="s">
        <v>517</v>
      </c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</row>
    <row r="674" spans="1:18">
      <c r="A674" s="71" t="s">
        <v>239</v>
      </c>
      <c r="B674" s="72">
        <v>62200</v>
      </c>
      <c r="C674" s="72">
        <v>51130</v>
      </c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</row>
    <row r="675" spans="1:18">
      <c r="A675" s="71" t="s">
        <v>413</v>
      </c>
      <c r="B675" s="72">
        <v>178320</v>
      </c>
      <c r="C675" s="72">
        <v>71270</v>
      </c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</row>
    <row r="676" spans="1:18">
      <c r="A676" s="71" t="s">
        <v>241</v>
      </c>
      <c r="B676" s="72">
        <v>624</v>
      </c>
      <c r="C676" s="72">
        <v>230</v>
      </c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</row>
    <row r="677" spans="1:18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</row>
    <row r="678" spans="1:18">
      <c r="A678" s="71" t="s">
        <v>666</v>
      </c>
      <c r="B678" s="71" t="s">
        <v>1009</v>
      </c>
      <c r="C678" s="71" t="s">
        <v>1010</v>
      </c>
      <c r="D678" s="71" t="s">
        <v>517</v>
      </c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</row>
    <row r="679" spans="1:18">
      <c r="A679" s="71" t="s">
        <v>239</v>
      </c>
      <c r="B679" s="72">
        <v>95166</v>
      </c>
      <c r="C679" s="72">
        <v>78228.899999999994</v>
      </c>
      <c r="D679" s="71" t="s">
        <v>1011</v>
      </c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</row>
    <row r="680" spans="1:18">
      <c r="A680" s="71" t="s">
        <v>413</v>
      </c>
      <c r="B680" s="72">
        <v>272829.59999999998</v>
      </c>
      <c r="C680" s="72">
        <v>109043.1</v>
      </c>
      <c r="D680" s="71" t="s">
        <v>1011</v>
      </c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</row>
    <row r="681" spans="1:18">
      <c r="A681" s="71" t="s">
        <v>241</v>
      </c>
      <c r="B681" s="72">
        <v>624</v>
      </c>
      <c r="C681" s="72">
        <v>230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</row>
    <row r="682" spans="1:18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</row>
    <row r="683" spans="1:18">
      <c r="A683" s="71"/>
      <c r="B683" s="71" t="s">
        <v>527</v>
      </c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</row>
    <row r="684" spans="1:18">
      <c r="A684" s="71" t="s">
        <v>526</v>
      </c>
      <c r="B684" s="71" t="s">
        <v>692</v>
      </c>
      <c r="C684" s="71" t="s">
        <v>1008</v>
      </c>
      <c r="D684" s="71" t="s">
        <v>1012</v>
      </c>
      <c r="E684" s="71" t="s">
        <v>1013</v>
      </c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</row>
    <row r="685" spans="1:18">
      <c r="A685" s="71" t="s">
        <v>528</v>
      </c>
      <c r="B685" s="71">
        <v>111450</v>
      </c>
      <c r="C685" s="71">
        <v>44543.75</v>
      </c>
      <c r="D685" s="71">
        <v>59478.75</v>
      </c>
      <c r="E685" s="71">
        <v>48893.0625</v>
      </c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</row>
    <row r="686" spans="1:18">
      <c r="A686" s="71" t="s">
        <v>530</v>
      </c>
      <c r="B686" s="71">
        <v>71328</v>
      </c>
      <c r="C686" s="71">
        <v>28508</v>
      </c>
      <c r="D686" s="71">
        <v>109131.84</v>
      </c>
      <c r="E686" s="71">
        <v>43617.24</v>
      </c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</row>
    <row r="687" spans="1:18">
      <c r="A687" s="71"/>
      <c r="B687" s="71" t="s">
        <v>531</v>
      </c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</row>
    <row r="688" spans="1:18">
      <c r="A688" s="71"/>
      <c r="B688" s="71" t="s">
        <v>692</v>
      </c>
      <c r="C688" s="71" t="s">
        <v>1008</v>
      </c>
      <c r="D688" s="71" t="s">
        <v>1012</v>
      </c>
      <c r="E688" s="71" t="s">
        <v>1013</v>
      </c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</row>
    <row r="689" spans="1:18">
      <c r="A689" s="71" t="s">
        <v>534</v>
      </c>
      <c r="B689" s="71">
        <v>18389250</v>
      </c>
      <c r="C689" s="71">
        <v>7349718.75</v>
      </c>
      <c r="D689" s="71">
        <v>9813993.75</v>
      </c>
      <c r="E689" s="71">
        <v>8067355.3130000001</v>
      </c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</row>
    <row r="690" spans="1:18">
      <c r="A690" s="71" t="s">
        <v>536</v>
      </c>
      <c r="B690" s="71">
        <v>28531200</v>
      </c>
      <c r="C690" s="71">
        <v>11403200</v>
      </c>
      <c r="D690" s="71">
        <v>43652736</v>
      </c>
      <c r="E690" s="71">
        <v>17446896</v>
      </c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</row>
    <row r="691" spans="1:18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</row>
    <row r="692" spans="1:18">
      <c r="A692" s="71"/>
      <c r="B692" s="71" t="s">
        <v>532</v>
      </c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</row>
    <row r="693" spans="1:18">
      <c r="A693" s="71"/>
      <c r="B693" s="71" t="s">
        <v>692</v>
      </c>
      <c r="C693" s="71" t="s">
        <v>1008</v>
      </c>
      <c r="D693" s="71" t="s">
        <v>1012</v>
      </c>
      <c r="E693" s="71" t="s">
        <v>1013</v>
      </c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</row>
    <row r="694" spans="1:18">
      <c r="A694" s="71" t="s">
        <v>534</v>
      </c>
      <c r="B694" s="72">
        <v>18389.25</v>
      </c>
      <c r="C694" s="72">
        <v>7349.71875</v>
      </c>
      <c r="D694" s="72">
        <v>9813.9937499999996</v>
      </c>
      <c r="E694" s="72">
        <v>8067.355313</v>
      </c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</row>
    <row r="695" spans="1:18">
      <c r="A695" s="71" t="s">
        <v>536</v>
      </c>
      <c r="B695" s="72">
        <v>28531.200000000001</v>
      </c>
      <c r="C695" s="72">
        <v>11403.2</v>
      </c>
      <c r="D695" s="72">
        <v>43652.735999999997</v>
      </c>
      <c r="E695" s="72">
        <v>17446.896000000001</v>
      </c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</row>
    <row r="696" spans="1:18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</row>
    <row r="697" spans="1:18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</row>
    <row r="698" spans="1:18" ht="15.5">
      <c r="A698" s="74" t="s">
        <v>710</v>
      </c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</row>
    <row r="699" spans="1:18" ht="15.5">
      <c r="A699" s="74" t="s">
        <v>747</v>
      </c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</row>
    <row r="700" spans="1:18" ht="15.5">
      <c r="A700" s="80" t="s">
        <v>749</v>
      </c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</row>
    <row r="701" spans="1:18">
      <c r="A701" s="104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</row>
    <row r="702" spans="1:18" ht="15.5">
      <c r="A702" s="75" t="s">
        <v>750</v>
      </c>
      <c r="B702" s="71" t="s">
        <v>709</v>
      </c>
      <c r="C702" s="71" t="s">
        <v>517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</row>
    <row r="703" spans="1:18" ht="15.5">
      <c r="A703" s="75" t="s">
        <v>241</v>
      </c>
      <c r="B703" s="71">
        <v>1.3</v>
      </c>
      <c r="C703" s="71" t="s">
        <v>1014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</row>
    <row r="704" spans="1:18" ht="15.5">
      <c r="A704" s="75" t="s">
        <v>413</v>
      </c>
      <c r="B704" s="71">
        <v>159</v>
      </c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</row>
    <row r="705" spans="1:18">
      <c r="A705" s="71" t="s">
        <v>1015</v>
      </c>
      <c r="B705" s="71">
        <v>52</v>
      </c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</row>
    <row r="706" spans="1:18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</row>
    <row r="707" spans="1:18" ht="15.5">
      <c r="A707" s="75" t="s">
        <v>750</v>
      </c>
      <c r="B707" s="71" t="s">
        <v>709</v>
      </c>
      <c r="C707" s="71" t="s">
        <v>1016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</row>
    <row r="708" spans="1:18">
      <c r="A708" s="71" t="s">
        <v>241</v>
      </c>
      <c r="B708" s="72">
        <v>1300</v>
      </c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</row>
    <row r="709" spans="1:18">
      <c r="A709" s="71" t="s">
        <v>413</v>
      </c>
      <c r="B709" s="72">
        <v>159000</v>
      </c>
      <c r="C709" s="72">
        <v>243270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</row>
    <row r="710" spans="1:18">
      <c r="A710" s="71" t="s">
        <v>1015</v>
      </c>
      <c r="B710" s="72">
        <v>52000</v>
      </c>
      <c r="C710" s="72">
        <v>79560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</row>
    <row r="711" spans="1:18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</row>
    <row r="712" spans="1:18">
      <c r="A712" s="71"/>
      <c r="B712" s="71" t="s">
        <v>527</v>
      </c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</row>
    <row r="713" spans="1:18">
      <c r="A713" s="71" t="s">
        <v>526</v>
      </c>
      <c r="B713" s="71" t="s">
        <v>1017</v>
      </c>
      <c r="C713" s="71" t="s">
        <v>1018</v>
      </c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</row>
    <row r="714" spans="1:18">
      <c r="A714" s="71" t="s">
        <v>528</v>
      </c>
      <c r="B714" s="71">
        <v>99375</v>
      </c>
      <c r="C714" s="71">
        <v>152043.75</v>
      </c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</row>
    <row r="715" spans="1:18">
      <c r="A715" s="71" t="s">
        <v>530</v>
      </c>
      <c r="B715" s="71">
        <v>63600</v>
      </c>
      <c r="C715" s="71">
        <v>97308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</row>
    <row r="716" spans="1:18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</row>
    <row r="717" spans="1:18">
      <c r="A717" s="71"/>
      <c r="B717" s="71" t="s">
        <v>531</v>
      </c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</row>
    <row r="718" spans="1:18">
      <c r="A718" s="71"/>
      <c r="B718" s="71" t="s">
        <v>1017</v>
      </c>
      <c r="C718" s="71" t="s">
        <v>1018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</row>
    <row r="719" spans="1:18">
      <c r="A719" s="71" t="s">
        <v>534</v>
      </c>
      <c r="B719" s="71">
        <v>16396875</v>
      </c>
      <c r="C719" s="71">
        <v>25087218.75</v>
      </c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</row>
    <row r="720" spans="1:18">
      <c r="A720" s="71" t="s">
        <v>536</v>
      </c>
      <c r="B720" s="71">
        <v>25440000</v>
      </c>
      <c r="C720" s="71">
        <v>38923200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</row>
    <row r="721" spans="1:18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</row>
    <row r="722" spans="1:18">
      <c r="A722" s="71"/>
      <c r="B722" s="71" t="s">
        <v>532</v>
      </c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</row>
    <row r="723" spans="1:18">
      <c r="A723" s="71"/>
      <c r="B723" s="71" t="s">
        <v>1017</v>
      </c>
      <c r="C723" s="71" t="s">
        <v>1018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</row>
    <row r="724" spans="1:18">
      <c r="A724" s="71" t="s">
        <v>534</v>
      </c>
      <c r="B724" s="72">
        <v>16396.875</v>
      </c>
      <c r="C724" s="72">
        <v>25087.21875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</row>
    <row r="725" spans="1:18">
      <c r="A725" s="71" t="s">
        <v>536</v>
      </c>
      <c r="B725" s="72">
        <v>25440</v>
      </c>
      <c r="C725" s="72">
        <v>38923.199999999997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</row>
    <row r="726" spans="1:18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</row>
    <row r="727" spans="1:18" ht="15.5">
      <c r="A727" s="74" t="s">
        <v>1019</v>
      </c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</row>
    <row r="728" spans="1:18" ht="15.5">
      <c r="A728" s="80" t="s">
        <v>1020</v>
      </c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</row>
    <row r="729" spans="1:18">
      <c r="A729" s="71" t="s">
        <v>1021</v>
      </c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</row>
    <row r="730" spans="1:18">
      <c r="A730" s="71" t="s">
        <v>1022</v>
      </c>
      <c r="B730" s="71" t="s">
        <v>692</v>
      </c>
      <c r="C730" s="71" t="s">
        <v>1023</v>
      </c>
      <c r="D730" s="71" t="s">
        <v>1024</v>
      </c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</row>
    <row r="731" spans="1:18">
      <c r="A731" s="71" t="s">
        <v>413</v>
      </c>
      <c r="B731" s="72">
        <v>158758</v>
      </c>
      <c r="C731" s="71">
        <v>6962</v>
      </c>
      <c r="D731" s="72">
        <v>242899.74</v>
      </c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</row>
    <row r="732" spans="1:18">
      <c r="A732" s="71" t="s">
        <v>1015</v>
      </c>
      <c r="B732" s="72">
        <v>51340</v>
      </c>
      <c r="C732" s="71">
        <v>1764</v>
      </c>
      <c r="D732" s="72">
        <v>78550.2</v>
      </c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</row>
    <row r="733" spans="1:18">
      <c r="A733" s="71" t="s">
        <v>649</v>
      </c>
      <c r="B733" s="72">
        <v>419</v>
      </c>
      <c r="C733" s="71">
        <v>310</v>
      </c>
      <c r="D733" s="72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</row>
    <row r="734" spans="1:18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</row>
    <row r="735" spans="1:18">
      <c r="A735" s="71"/>
      <c r="B735" s="71" t="s">
        <v>527</v>
      </c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</row>
    <row r="736" spans="1:18">
      <c r="A736" s="71" t="s">
        <v>526</v>
      </c>
      <c r="B736" s="71" t="s">
        <v>692</v>
      </c>
      <c r="C736" s="71" t="s">
        <v>1012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</row>
    <row r="737" spans="1:18">
      <c r="A737" s="71" t="s">
        <v>528</v>
      </c>
      <c r="B737" s="71">
        <v>99223.75</v>
      </c>
      <c r="C737" s="71">
        <v>151812.33749999999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</row>
    <row r="738" spans="1:18">
      <c r="A738" s="71" t="s">
        <v>530</v>
      </c>
      <c r="B738" s="71">
        <v>63503.199999999997</v>
      </c>
      <c r="C738" s="71">
        <v>97159.895999999993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</row>
    <row r="739" spans="1:18">
      <c r="A739" s="71"/>
      <c r="B739" s="71" t="s">
        <v>531</v>
      </c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</row>
    <row r="740" spans="1:18">
      <c r="A740" s="71"/>
      <c r="B740" s="71" t="s">
        <v>692</v>
      </c>
      <c r="C740" s="71" t="s">
        <v>1012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</row>
    <row r="741" spans="1:18">
      <c r="A741" s="71" t="s">
        <v>534</v>
      </c>
      <c r="B741" s="71">
        <v>16371918.75</v>
      </c>
      <c r="C741" s="71">
        <v>25049035.690000001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</row>
    <row r="742" spans="1:18">
      <c r="A742" s="71" t="s">
        <v>536</v>
      </c>
      <c r="B742" s="71">
        <v>25401280</v>
      </c>
      <c r="C742" s="71">
        <v>38863958.399999999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</row>
    <row r="743" spans="1:18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</row>
    <row r="744" spans="1:18">
      <c r="A744" s="71"/>
      <c r="B744" s="71" t="s">
        <v>532</v>
      </c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</row>
    <row r="745" spans="1:18">
      <c r="A745" s="71"/>
      <c r="B745" s="71" t="s">
        <v>692</v>
      </c>
      <c r="C745" s="71" t="s">
        <v>1012</v>
      </c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</row>
    <row r="746" spans="1:18">
      <c r="A746" s="71" t="s">
        <v>534</v>
      </c>
      <c r="B746" s="72">
        <v>16371.918750000001</v>
      </c>
      <c r="C746" s="72">
        <v>25049.035690000001</v>
      </c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</row>
    <row r="747" spans="1:18">
      <c r="A747" s="71" t="s">
        <v>536</v>
      </c>
      <c r="B747" s="72">
        <v>25401.279999999999</v>
      </c>
      <c r="C747" s="72">
        <v>38863.958400000003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</row>
    <row r="748" spans="1:1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</row>
    <row r="749" spans="1:18" ht="15.5">
      <c r="A749" s="74" t="s">
        <v>1025</v>
      </c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</row>
    <row r="750" spans="1:18" ht="15.5">
      <c r="A750" s="80" t="s">
        <v>1026</v>
      </c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</row>
    <row r="751" spans="1:18">
      <c r="A751" s="71" t="s">
        <v>1027</v>
      </c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</row>
    <row r="752" spans="1:18">
      <c r="A752" s="71" t="s">
        <v>516</v>
      </c>
      <c r="B752" s="71" t="s">
        <v>692</v>
      </c>
      <c r="C752" s="71" t="s">
        <v>1012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</row>
    <row r="753" spans="1:18">
      <c r="A753" s="71" t="s">
        <v>649</v>
      </c>
      <c r="B753" s="72">
        <v>255</v>
      </c>
      <c r="C753" s="72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</row>
    <row r="754" spans="1:18">
      <c r="A754" s="71" t="s">
        <v>413</v>
      </c>
      <c r="B754" s="72">
        <v>74257</v>
      </c>
      <c r="C754" s="72">
        <v>113613.21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</row>
    <row r="755" spans="1:18">
      <c r="A755" s="71" t="s">
        <v>415</v>
      </c>
      <c r="B755" s="72">
        <v>454</v>
      </c>
      <c r="C755" s="72">
        <v>544.79999999999995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</row>
    <row r="756" spans="1:18">
      <c r="A756" s="71" t="s">
        <v>249</v>
      </c>
      <c r="B756" s="72">
        <v>112</v>
      </c>
      <c r="C756" s="72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</row>
    <row r="757" spans="1:18">
      <c r="A757" s="71" t="s">
        <v>250</v>
      </c>
      <c r="B757" s="72">
        <v>10</v>
      </c>
      <c r="C757" s="72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</row>
    <row r="758" spans="1:18">
      <c r="A758" s="71" t="s">
        <v>248</v>
      </c>
      <c r="B758" s="72">
        <v>0</v>
      </c>
      <c r="C758" s="72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</row>
    <row r="759" spans="1:18">
      <c r="A759" s="71" t="s">
        <v>1028</v>
      </c>
      <c r="B759" s="72">
        <v>40293</v>
      </c>
      <c r="C759" s="72">
        <v>61648.29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</row>
    <row r="760" spans="1:18">
      <c r="A760" s="71" t="s">
        <v>1029</v>
      </c>
      <c r="B760" s="71" t="s">
        <v>939</v>
      </c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</row>
    <row r="761" spans="1:18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</row>
    <row r="762" spans="1:18">
      <c r="A762" s="71"/>
      <c r="B762" s="71" t="s">
        <v>527</v>
      </c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</row>
    <row r="763" spans="1:18">
      <c r="A763" s="71" t="s">
        <v>526</v>
      </c>
      <c r="B763" s="71" t="s">
        <v>692</v>
      </c>
      <c r="C763" s="71" t="s">
        <v>1012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</row>
    <row r="764" spans="1:18">
      <c r="A764" s="71" t="s">
        <v>528</v>
      </c>
      <c r="B764" s="71">
        <v>46410.625</v>
      </c>
      <c r="C764" s="71">
        <v>71008.256250000006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</row>
    <row r="765" spans="1:18">
      <c r="A765" s="71" t="s">
        <v>530</v>
      </c>
      <c r="B765" s="71">
        <v>29702.799999999999</v>
      </c>
      <c r="C765" s="71">
        <v>45445.284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</row>
    <row r="766" spans="1:18">
      <c r="A766" s="71"/>
      <c r="B766" s="71" t="s">
        <v>531</v>
      </c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</row>
    <row r="767" spans="1:18">
      <c r="A767" s="71"/>
      <c r="B767" s="71" t="s">
        <v>692</v>
      </c>
      <c r="C767" s="71" t="s">
        <v>1012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</row>
    <row r="768" spans="1:18">
      <c r="A768" s="71" t="s">
        <v>534</v>
      </c>
      <c r="B768" s="71">
        <v>7657753.125</v>
      </c>
      <c r="C768" s="71">
        <v>11716362.279999999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</row>
    <row r="769" spans="1:18">
      <c r="A769" s="71" t="s">
        <v>536</v>
      </c>
      <c r="B769" s="71">
        <v>11881120</v>
      </c>
      <c r="C769" s="71">
        <v>18178113.600000001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</row>
    <row r="770" spans="1:18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</row>
    <row r="771" spans="1:18">
      <c r="A771" s="71"/>
      <c r="B771" s="71" t="s">
        <v>532</v>
      </c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</row>
    <row r="772" spans="1:18">
      <c r="A772" s="71"/>
      <c r="B772" s="71" t="s">
        <v>692</v>
      </c>
      <c r="C772" s="71" t="s">
        <v>1012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</row>
    <row r="773" spans="1:18">
      <c r="A773" s="71" t="s">
        <v>534</v>
      </c>
      <c r="B773" s="72">
        <v>7657.7531250000002</v>
      </c>
      <c r="C773" s="72">
        <v>11716.362279999999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</row>
    <row r="774" spans="1:18">
      <c r="A774" s="71" t="s">
        <v>536</v>
      </c>
      <c r="B774" s="72">
        <v>11881.12</v>
      </c>
      <c r="C774" s="72">
        <v>18178.113600000001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</row>
    <row r="775" spans="1:18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</row>
    <row r="776" spans="1:18" ht="15.5">
      <c r="A776" s="74" t="s">
        <v>1030</v>
      </c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</row>
    <row r="777" spans="1:18" ht="15.5">
      <c r="A777" s="80" t="s">
        <v>1031</v>
      </c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</row>
    <row r="778" spans="1:18">
      <c r="A778" s="71" t="s">
        <v>1032</v>
      </c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</row>
    <row r="779" spans="1:18">
      <c r="A779" s="71" t="s">
        <v>1022</v>
      </c>
      <c r="B779" s="71" t="s">
        <v>1008</v>
      </c>
      <c r="C779" s="71" t="s">
        <v>1033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</row>
    <row r="780" spans="1:18">
      <c r="A780" s="71" t="s">
        <v>413</v>
      </c>
      <c r="B780" s="72">
        <v>97749</v>
      </c>
      <c r="C780" s="72">
        <v>149555.97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</row>
    <row r="781" spans="1:18">
      <c r="A781" s="71" t="s">
        <v>239</v>
      </c>
      <c r="B781" s="72">
        <v>31030</v>
      </c>
      <c r="C781" s="72">
        <v>47475.9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</row>
    <row r="782" spans="1:18">
      <c r="A782" s="71" t="s">
        <v>649</v>
      </c>
      <c r="B782" s="72">
        <v>204</v>
      </c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</row>
    <row r="783" spans="1:18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</row>
    <row r="784" spans="1:18">
      <c r="A784" s="71"/>
      <c r="B784" s="71" t="s">
        <v>527</v>
      </c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</row>
    <row r="785" spans="1:18">
      <c r="A785" s="71" t="s">
        <v>526</v>
      </c>
      <c r="B785" s="71" t="s">
        <v>1008</v>
      </c>
      <c r="C785" s="71" t="s">
        <v>1033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</row>
    <row r="786" spans="1:18">
      <c r="A786" s="71" t="s">
        <v>528</v>
      </c>
      <c r="B786" s="71">
        <v>61093.125</v>
      </c>
      <c r="C786" s="71">
        <v>93472.481249999997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</row>
    <row r="787" spans="1:18">
      <c r="A787" s="71" t="s">
        <v>530</v>
      </c>
      <c r="B787" s="71">
        <v>39099.599999999999</v>
      </c>
      <c r="C787" s="71">
        <v>59822.387999999999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</row>
    <row r="788" spans="1:18">
      <c r="A788" s="71"/>
      <c r="B788" s="71" t="s">
        <v>531</v>
      </c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</row>
    <row r="789" spans="1:18">
      <c r="A789" s="71"/>
      <c r="B789" s="71" t="s">
        <v>1008</v>
      </c>
      <c r="C789" s="71" t="s">
        <v>1033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</row>
    <row r="790" spans="1:18">
      <c r="A790" s="71" t="s">
        <v>534</v>
      </c>
      <c r="B790" s="71">
        <v>10080365.630000001</v>
      </c>
      <c r="C790" s="71">
        <v>15422959.41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</row>
    <row r="791" spans="1:18">
      <c r="A791" s="71" t="s">
        <v>536</v>
      </c>
      <c r="B791" s="71">
        <v>15639840</v>
      </c>
      <c r="C791" s="71">
        <v>23928955.199999999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</row>
    <row r="792" spans="1:18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</row>
    <row r="793" spans="1:18">
      <c r="A793" s="71"/>
      <c r="B793" s="71" t="s">
        <v>532</v>
      </c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</row>
    <row r="794" spans="1:18">
      <c r="A794" s="71"/>
      <c r="B794" s="71" t="s">
        <v>1008</v>
      </c>
      <c r="C794" s="71" t="s">
        <v>1033</v>
      </c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</row>
    <row r="795" spans="1:18">
      <c r="A795" s="71" t="s">
        <v>534</v>
      </c>
      <c r="B795" s="72">
        <v>10080.36563</v>
      </c>
      <c r="C795" s="72">
        <v>15422.959409999999</v>
      </c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</row>
    <row r="796" spans="1:18">
      <c r="A796" s="71" t="s">
        <v>536</v>
      </c>
      <c r="B796" s="72">
        <v>15639.84</v>
      </c>
      <c r="C796" s="72">
        <v>23928.9552</v>
      </c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</row>
    <row r="797" spans="1:18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</row>
    <row r="798" spans="1:18" ht="15.5">
      <c r="A798" s="74" t="s">
        <v>939</v>
      </c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</row>
    <row r="799" spans="1:18" ht="15.5">
      <c r="A799" s="80" t="s">
        <v>940</v>
      </c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</row>
    <row r="800" spans="1:18">
      <c r="A800" s="71" t="s">
        <v>1034</v>
      </c>
      <c r="B800" s="71" t="s">
        <v>1035</v>
      </c>
      <c r="C800" s="71" t="s">
        <v>517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</row>
    <row r="801" spans="1:18">
      <c r="A801" s="71" t="s">
        <v>649</v>
      </c>
      <c r="B801" s="71">
        <v>225</v>
      </c>
      <c r="C801" s="71" t="s">
        <v>1036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</row>
    <row r="802" spans="1:18">
      <c r="A802" s="71" t="s">
        <v>415</v>
      </c>
      <c r="B802" s="71" t="s">
        <v>1037</v>
      </c>
      <c r="C802" s="71" t="s">
        <v>1038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</row>
    <row r="803" spans="1:18">
      <c r="A803" s="71" t="s">
        <v>1039</v>
      </c>
      <c r="B803" s="71" t="s">
        <v>1040</v>
      </c>
      <c r="C803" s="69" t="s">
        <v>1041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</row>
    <row r="804" spans="1:18">
      <c r="A804" s="71" t="s">
        <v>1042</v>
      </c>
      <c r="B804" s="71">
        <v>35540</v>
      </c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</row>
    <row r="805" spans="1:18">
      <c r="A805" s="71" t="s">
        <v>249</v>
      </c>
      <c r="B805" s="71">
        <v>99</v>
      </c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</row>
    <row r="806" spans="1:18">
      <c r="A806" s="71" t="s">
        <v>250</v>
      </c>
      <c r="B806" s="71">
        <v>9</v>
      </c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</row>
    <row r="807" spans="1:18">
      <c r="A807" s="71" t="s">
        <v>417</v>
      </c>
      <c r="B807" s="71">
        <v>0</v>
      </c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</row>
    <row r="808" spans="1:18">
      <c r="A808" s="71" t="s">
        <v>1043</v>
      </c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</row>
    <row r="809" spans="1:18">
      <c r="A809" s="71" t="s">
        <v>1044</v>
      </c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</row>
    <row r="810" spans="1:18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</row>
    <row r="811" spans="1:18">
      <c r="A811" s="71"/>
      <c r="B811" s="71" t="s">
        <v>914</v>
      </c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</row>
    <row r="812" spans="1:18">
      <c r="A812" s="71"/>
      <c r="B812" s="71">
        <v>28288.535</v>
      </c>
      <c r="C812" s="71">
        <v>40903.692499999997</v>
      </c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</row>
    <row r="813" spans="1:18">
      <c r="A813" s="71"/>
      <c r="B813" s="71" t="s">
        <v>1045</v>
      </c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</row>
    <row r="814" spans="1:18">
      <c r="A814" s="71"/>
      <c r="B814" s="71">
        <v>77793.471250000002</v>
      </c>
      <c r="C814" s="71">
        <v>112485.1544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</row>
    <row r="815" spans="1:18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</row>
    <row r="816" spans="1:18">
      <c r="A816" s="71"/>
      <c r="B816" s="71"/>
      <c r="C816" s="71" t="s">
        <v>1012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</row>
    <row r="817" spans="1:18">
      <c r="A817" s="71"/>
      <c r="B817" s="71" t="s">
        <v>1046</v>
      </c>
      <c r="C817" s="71" t="s">
        <v>1047</v>
      </c>
      <c r="D817" s="71" t="s">
        <v>1048</v>
      </c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</row>
    <row r="818" spans="1:18">
      <c r="A818" s="71" t="s">
        <v>649</v>
      </c>
      <c r="B818" s="72">
        <v>281.25</v>
      </c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</row>
    <row r="819" spans="1:18">
      <c r="A819" s="71" t="s">
        <v>415</v>
      </c>
      <c r="B819" s="72" t="s">
        <v>1049</v>
      </c>
      <c r="C819" s="72">
        <v>600</v>
      </c>
      <c r="D819" s="72">
        <v>645</v>
      </c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</row>
    <row r="820" spans="1:18">
      <c r="A820" s="71" t="s">
        <v>1045</v>
      </c>
      <c r="B820" s="72" t="s">
        <v>1050</v>
      </c>
      <c r="C820" s="72">
        <v>118105.29</v>
      </c>
      <c r="D820" s="72">
        <v>172102.05</v>
      </c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</row>
    <row r="821" spans="1:18">
      <c r="A821" s="71" t="s">
        <v>1042</v>
      </c>
      <c r="B821" s="72">
        <v>44425</v>
      </c>
      <c r="C821" s="72">
        <v>67694.850000000006</v>
      </c>
      <c r="D821" s="72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</row>
    <row r="822" spans="1:18">
      <c r="A822" s="71" t="s">
        <v>249</v>
      </c>
      <c r="B822" s="72">
        <v>123.75</v>
      </c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</row>
    <row r="823" spans="1:18">
      <c r="A823" s="71" t="s">
        <v>250</v>
      </c>
      <c r="B823" s="72">
        <v>11.25</v>
      </c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</row>
    <row r="824" spans="1:18">
      <c r="A824" s="71" t="s">
        <v>417</v>
      </c>
      <c r="B824" s="72">
        <v>0</v>
      </c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</row>
    <row r="825" spans="1:18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</row>
    <row r="826" spans="1:18">
      <c r="A826" s="71"/>
      <c r="B826" s="71" t="s">
        <v>531</v>
      </c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</row>
    <row r="827" spans="1:18">
      <c r="A827" s="71"/>
      <c r="B827" s="71" t="s">
        <v>1051</v>
      </c>
      <c r="C827" s="71" t="s">
        <v>1052</v>
      </c>
      <c r="D827" s="71" t="s">
        <v>1053</v>
      </c>
      <c r="E827" s="71" t="s">
        <v>1054</v>
      </c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</row>
    <row r="828" spans="1:18">
      <c r="A828" s="71" t="s">
        <v>924</v>
      </c>
      <c r="B828" s="71">
        <v>4667608.2750000004</v>
      </c>
      <c r="C828" s="71">
        <v>6749109.2630000003</v>
      </c>
      <c r="D828" s="71">
        <v>7141440.6610000003</v>
      </c>
      <c r="E828" s="71">
        <v>10326137.17</v>
      </c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</row>
    <row r="829" spans="1:18">
      <c r="A829" s="71" t="s">
        <v>925</v>
      </c>
      <c r="B829" s="71">
        <v>11315414</v>
      </c>
      <c r="C829" s="71">
        <v>16361477</v>
      </c>
      <c r="D829" s="71">
        <v>17312583.420000002</v>
      </c>
      <c r="E829" s="71">
        <v>25033059.809999999</v>
      </c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</row>
    <row r="830" spans="1:18">
      <c r="A830" s="71" t="s">
        <v>1055</v>
      </c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</row>
    <row r="831" spans="1:18">
      <c r="A831" s="71"/>
      <c r="B831" s="71" t="s">
        <v>532</v>
      </c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</row>
    <row r="832" spans="1:18">
      <c r="A832" s="71"/>
      <c r="B832" s="71" t="s">
        <v>1051</v>
      </c>
      <c r="C832" s="71" t="s">
        <v>1052</v>
      </c>
      <c r="D832" s="71" t="s">
        <v>1053</v>
      </c>
      <c r="E832" s="71" t="s">
        <v>1054</v>
      </c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</row>
    <row r="833" spans="1:18">
      <c r="A833" s="71" t="s">
        <v>924</v>
      </c>
      <c r="B833" s="72">
        <v>4667.6082749999996</v>
      </c>
      <c r="C833" s="72">
        <v>6749.1092630000003</v>
      </c>
      <c r="D833" s="72">
        <v>7141.4406609999996</v>
      </c>
      <c r="E833" s="72">
        <v>10326.13717</v>
      </c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</row>
    <row r="834" spans="1:18">
      <c r="A834" s="71" t="s">
        <v>925</v>
      </c>
      <c r="B834" s="72">
        <v>11315.414000000001</v>
      </c>
      <c r="C834" s="72">
        <v>16361.477000000001</v>
      </c>
      <c r="D834" s="72">
        <v>17312.583419999999</v>
      </c>
      <c r="E834" s="72">
        <v>25033.059809999999</v>
      </c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</row>
    <row r="835" spans="1:18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</row>
    <row r="836" spans="1:18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</row>
    <row r="837" spans="1:18" ht="15.5">
      <c r="A837" s="74" t="s">
        <v>1056</v>
      </c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</row>
    <row r="838" spans="1:18" ht="15.5">
      <c r="A838" s="80" t="s">
        <v>1057</v>
      </c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</row>
    <row r="839" spans="1:18">
      <c r="A839" s="71" t="s">
        <v>1058</v>
      </c>
      <c r="B839" s="71" t="s">
        <v>1059</v>
      </c>
      <c r="C839" s="71" t="s">
        <v>692</v>
      </c>
      <c r="D839" s="71" t="s">
        <v>1060</v>
      </c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</row>
    <row r="840" spans="1:18">
      <c r="A840" s="71"/>
      <c r="B840" s="71" t="s">
        <v>978</v>
      </c>
      <c r="C840" s="71" t="s">
        <v>516</v>
      </c>
      <c r="D840" s="71" t="s">
        <v>1061</v>
      </c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</row>
    <row r="841" spans="1:18">
      <c r="A841" s="71" t="s">
        <v>413</v>
      </c>
      <c r="B841" s="71">
        <v>92265</v>
      </c>
      <c r="C841" s="72">
        <v>102516.6667</v>
      </c>
      <c r="D841" s="72">
        <v>156850.5</v>
      </c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</row>
    <row r="842" spans="1:18">
      <c r="A842" s="71" t="s">
        <v>415</v>
      </c>
      <c r="B842" s="71">
        <v>424</v>
      </c>
      <c r="C842" s="72">
        <v>471.11111110000002</v>
      </c>
      <c r="D842" s="72">
        <v>565.33333330000005</v>
      </c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</row>
    <row r="843" spans="1:18">
      <c r="A843" s="71" t="s">
        <v>249</v>
      </c>
      <c r="B843" s="71">
        <v>179</v>
      </c>
      <c r="C843" s="72">
        <v>198.88888890000001</v>
      </c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</row>
    <row r="844" spans="1:18">
      <c r="A844" s="71" t="s">
        <v>250</v>
      </c>
      <c r="B844" s="71">
        <v>6.8</v>
      </c>
      <c r="C844" s="72">
        <v>7.5555555559999998</v>
      </c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</row>
    <row r="845" spans="1:18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</row>
    <row r="846" spans="1:18">
      <c r="A846" s="71"/>
      <c r="B846" s="71" t="s">
        <v>527</v>
      </c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</row>
    <row r="847" spans="1:18">
      <c r="A847" s="71" t="s">
        <v>526</v>
      </c>
      <c r="B847" s="71" t="s">
        <v>692</v>
      </c>
      <c r="C847" s="71" t="s">
        <v>1062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</row>
    <row r="848" spans="1:18">
      <c r="A848" s="71" t="s">
        <v>528</v>
      </c>
      <c r="B848" s="71">
        <v>64072.916669999999</v>
      </c>
      <c r="C848" s="71">
        <v>98031.5625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</row>
    <row r="849" spans="1:18">
      <c r="A849" s="71" t="s">
        <v>530</v>
      </c>
      <c r="B849" s="71">
        <v>41006.666669999999</v>
      </c>
      <c r="C849" s="71">
        <v>62740.2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</row>
    <row r="850" spans="1:18">
      <c r="A850" s="71"/>
      <c r="B850" s="71" t="s">
        <v>531</v>
      </c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</row>
    <row r="851" spans="1:18">
      <c r="A851" s="71"/>
      <c r="B851" s="71" t="s">
        <v>692</v>
      </c>
      <c r="C851" s="71" t="s">
        <v>1062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</row>
    <row r="852" spans="1:18">
      <c r="A852" s="71" t="s">
        <v>534</v>
      </c>
      <c r="B852" s="71">
        <v>10572031.25</v>
      </c>
      <c r="C852" s="71">
        <v>16175207.810000001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</row>
    <row r="853" spans="1:18">
      <c r="A853" s="71" t="s">
        <v>536</v>
      </c>
      <c r="B853" s="71">
        <v>16402666.67</v>
      </c>
      <c r="C853" s="71">
        <v>25096080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</row>
    <row r="854" spans="1:18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</row>
    <row r="855" spans="1:18">
      <c r="A855" s="71"/>
      <c r="B855" s="71" t="s">
        <v>532</v>
      </c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</row>
    <row r="856" spans="1:18">
      <c r="A856" s="71"/>
      <c r="B856" s="71" t="s">
        <v>692</v>
      </c>
      <c r="C856" s="71" t="s">
        <v>1062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</row>
    <row r="857" spans="1:18">
      <c r="A857" s="71" t="s">
        <v>534</v>
      </c>
      <c r="B857" s="72">
        <v>10572.03125</v>
      </c>
      <c r="C857" s="72">
        <v>16175.20781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</row>
    <row r="858" spans="1:18">
      <c r="A858" s="71" t="s">
        <v>536</v>
      </c>
      <c r="B858" s="72">
        <v>16402.666669999999</v>
      </c>
      <c r="C858" s="72">
        <v>25096.080000000002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</row>
  </sheetData>
  <mergeCells count="62">
    <mergeCell ref="G588:G590"/>
    <mergeCell ref="H588:H590"/>
    <mergeCell ref="I588:I590"/>
    <mergeCell ref="J588:J590"/>
    <mergeCell ref="K588:K590"/>
    <mergeCell ref="L588:L590"/>
    <mergeCell ref="H585:H586"/>
    <mergeCell ref="I585:I586"/>
    <mergeCell ref="J585:J586"/>
    <mergeCell ref="K585:K586"/>
    <mergeCell ref="L585:L586"/>
    <mergeCell ref="B588:B590"/>
    <mergeCell ref="C588:C590"/>
    <mergeCell ref="D588:D590"/>
    <mergeCell ref="E588:E590"/>
    <mergeCell ref="F588:F590"/>
    <mergeCell ref="G585:G586"/>
    <mergeCell ref="B371:B373"/>
    <mergeCell ref="C371:C373"/>
    <mergeCell ref="D371:D373"/>
    <mergeCell ref="E371:E373"/>
    <mergeCell ref="F371:F373"/>
    <mergeCell ref="G371:G373"/>
    <mergeCell ref="B585:B586"/>
    <mergeCell ref="C585:C586"/>
    <mergeCell ref="D585:D586"/>
    <mergeCell ref="E585:E586"/>
    <mergeCell ref="F585:F586"/>
    <mergeCell ref="A246:A247"/>
    <mergeCell ref="B246:B247"/>
    <mergeCell ref="C246:C247"/>
    <mergeCell ref="D246:D247"/>
    <mergeCell ref="E246:E247"/>
    <mergeCell ref="F246:F247"/>
    <mergeCell ref="J145:J146"/>
    <mergeCell ref="K145:K146"/>
    <mergeCell ref="L145:L146"/>
    <mergeCell ref="M145:M146"/>
    <mergeCell ref="N145:N146"/>
    <mergeCell ref="O145:O146"/>
    <mergeCell ref="N100:N101"/>
    <mergeCell ref="O100:O101"/>
    <mergeCell ref="A145:A146"/>
    <mergeCell ref="B145:B146"/>
    <mergeCell ref="C145:C146"/>
    <mergeCell ref="D145:D146"/>
    <mergeCell ref="F145:F146"/>
    <mergeCell ref="G145:G146"/>
    <mergeCell ref="H145:H146"/>
    <mergeCell ref="I145:I146"/>
    <mergeCell ref="H100:H101"/>
    <mergeCell ref="I100:I101"/>
    <mergeCell ref="J100:J101"/>
    <mergeCell ref="K100:K101"/>
    <mergeCell ref="L100:L101"/>
    <mergeCell ref="M100:M101"/>
    <mergeCell ref="A100:A101"/>
    <mergeCell ref="B100:B101"/>
    <mergeCell ref="D100:D101"/>
    <mergeCell ref="E100:E101"/>
    <mergeCell ref="F100:F101"/>
    <mergeCell ref="G100:G101"/>
  </mergeCells>
  <hyperlinks>
    <hyperlink ref="A9" r:id="rId1" xr:uid="{73655C2B-45C6-4A0B-A4B3-9AB48133ED9F}"/>
    <hyperlink ref="A31" r:id="rId2" xr:uid="{31C952C8-E985-449C-B2D5-A5D7A30B54DF}"/>
    <hyperlink ref="A53" r:id="rId3" xr:uid="{FB9D2A61-0010-4149-8FE4-C2C997F7D7D3}"/>
    <hyperlink ref="A75" r:id="rId4" xr:uid="{3333ED71-945E-41BE-9FE2-166B5AC19BC7}"/>
    <hyperlink ref="A84" r:id="rId5" xr:uid="{3F85D563-9779-44F2-A967-7F2B75AB8FA1}"/>
    <hyperlink ref="A93" r:id="rId6" xr:uid="{4E873D9A-AD94-4C96-B068-9631D9C52B75}"/>
    <hyperlink ref="A113" r:id="rId7" xr:uid="{2C092D76-C283-4245-A149-1989687C9149}"/>
    <hyperlink ref="A122" r:id="rId8" xr:uid="{C9CBC70F-5F4E-41D0-95A5-A074775E4D52}"/>
    <hyperlink ref="A130" r:id="rId9" xr:uid="{0DF15676-7628-4BF3-9F45-E154B7FE5DFB}"/>
    <hyperlink ref="A143" r:id="rId10" xr:uid="{3588400F-BCE6-469A-8A1F-EC5665A2CC39}"/>
    <hyperlink ref="A154" r:id="rId11" xr:uid="{4A3A5E97-DC32-41EC-B40F-A321206A566C}"/>
    <hyperlink ref="A186" r:id="rId12" location=":~:text=Vestas%20Wind%20Systems%20A%2FS%20financed%20its%20own%20participation%20in,farms%20through%20their%20life%20cycles." display="https://www.vestas.com/~/media/vestas/about/sustainability/pdfs/lca_v80_2004_uk.ashx - :~:text=Vestas%20Wind%20Systems%20A%2FS%20financed%20its%20own%20participation%20in,farms%20through%20their%20life%20cycles." xr:uid="{0CBB1F7D-ADCD-474D-B681-83A16A8C2B89}"/>
    <hyperlink ref="A214" r:id="rId13" location="!divAbstract" display="https://pubs.rsc.org/en/content/articlelanding/2015/ee/c5ee00585j - !divAbstract" xr:uid="{08F1D376-1111-404E-94E6-5A5C466418C1}"/>
    <hyperlink ref="A227" r:id="rId14" xr:uid="{A9FCFA2F-1929-4C17-8CDD-933F871A7C62}"/>
    <hyperlink ref="A233" r:id="rId15" xr:uid="{427AB3A4-58CD-479B-8D14-FBED11C2DE90}"/>
    <hyperlink ref="A242" r:id="rId16" xr:uid="{DA0C048D-AF91-4548-935F-1ECA6429AD1D}"/>
    <hyperlink ref="A263" r:id="rId17" xr:uid="{24AF518A-3BE8-4E18-A5D5-D84F78DE78BD}"/>
    <hyperlink ref="D282" r:id="rId18" display="http://esu-services.ch/fileadmin/download/publicLCI/flury-2012-hydroelectric-power-generation.pdf" xr:uid="{EF279198-28F6-44B0-80C0-1A24314DFEA6}"/>
    <hyperlink ref="A288" r:id="rId19" location="ec0005" display="https://www.sciencedirect.com/science/article/pii/S0301421518302726 - ec0005" xr:uid="{BFB84B48-D336-46DE-A5F6-473AB56E5FCB}"/>
    <hyperlink ref="A296" r:id="rId20" location="!divAbstract" display="https://pubs.rsc.org/en/content/articlelanding/2015/ee/c4ee04073b - !divAbstract" xr:uid="{6D5EA3C4-C7E8-4EB3-8044-4F6AD268BA6A}"/>
    <hyperlink ref="G305" r:id="rId21" xr:uid="{68EB52F2-45C5-40CE-8E15-B30792F14BED}"/>
    <hyperlink ref="A341" r:id="rId22" xr:uid="{083D2783-D1C2-42C6-8AD6-A66BFE77B33E}"/>
    <hyperlink ref="A351" r:id="rId23" xr:uid="{5C41D446-53B4-4FB6-8EFE-A9B0CEA003D3}"/>
    <hyperlink ref="A354" r:id="rId24" xr:uid="{20C7BCF1-A3E1-47F6-BFD0-C405C5C4C9A3}"/>
    <hyperlink ref="A374" r:id="rId25" xr:uid="{02169284-03F3-48EA-A462-DF129EC369D4}"/>
    <hyperlink ref="A379" r:id="rId26" xr:uid="{11E20FEC-73F3-4F19-AE8E-815904E92FAD}"/>
    <hyperlink ref="A389" r:id="rId27" xr:uid="{FEB42B85-4CF6-4538-A31D-5E3F9F85051F}"/>
    <hyperlink ref="A398" r:id="rId28" xr:uid="{43062853-7EAA-491F-ADE4-DC3F2A281EED}"/>
    <hyperlink ref="A415" r:id="rId29" xr:uid="{3A3961E1-3A94-4F3F-AA33-A247C3F390DF}"/>
    <hyperlink ref="A434" r:id="rId30" xr:uid="{64013CF9-3ADB-4CA0-AB8D-931C3D365881}"/>
    <hyperlink ref="A445" r:id="rId31" xr:uid="{07C7D9E7-3A98-4021-854D-E17354A4194D}"/>
    <hyperlink ref="A446" r:id="rId32" xr:uid="{81653EC9-67C1-4323-9618-97BA77E096CE}"/>
    <hyperlink ref="A452" r:id="rId33" xr:uid="{7CE3B4A0-F603-4E07-82C3-D8EC48C355D7}"/>
    <hyperlink ref="A469" r:id="rId34" xr:uid="{91662505-3120-43CF-BB6B-F520743397E7}"/>
    <hyperlink ref="A478" r:id="rId35" xr:uid="{D556D70E-3CB6-49E0-9BA9-21EC8FD4FAF4}"/>
    <hyperlink ref="A496" r:id="rId36" xr:uid="{D5842803-CCCF-491E-BC60-0AB2146A0D89}"/>
    <hyperlink ref="A509" r:id="rId37" xr:uid="{A6BDCCF1-949B-41B6-BA57-1A18512570DA}"/>
    <hyperlink ref="A523" r:id="rId38" display="https://pdfs.semanticscholar.org/519e/a5c55a312f3f45ccfcc4a093a941366c6658.pdf" xr:uid="{2C78E7DE-429B-413C-809B-5C8244CCDBEF}"/>
    <hyperlink ref="A525" r:id="rId39" xr:uid="{1A243B7B-7BF6-404E-A9AD-ECA74E601EAF}"/>
    <hyperlink ref="A544" r:id="rId40" xr:uid="{14020268-3061-4C9A-B5ED-53796CCDB33B}"/>
    <hyperlink ref="A553" r:id="rId41" xr:uid="{70E41366-C171-4A43-B17E-0184545836B2}"/>
    <hyperlink ref="A574" r:id="rId42" xr:uid="{81B7A941-7742-466A-A6BE-E28C203E5B86}"/>
    <hyperlink ref="A616" r:id="rId43" xr:uid="{DDFF7617-8438-408D-BA70-150E289AD377}"/>
    <hyperlink ref="A648" r:id="rId44" xr:uid="{F37AEDB4-39A1-48E2-A138-135C6CE50FE5}"/>
    <hyperlink ref="A672" r:id="rId45" xr:uid="{71F20B4A-8DC0-4D83-950C-4EBF3EDFBF7C}"/>
    <hyperlink ref="A700" r:id="rId46" xr:uid="{FF6AF969-6CDF-4936-86AA-9000A07E0B41}"/>
    <hyperlink ref="A728" r:id="rId47" xr:uid="{59FF2149-BF2D-4B01-8F43-F198DBBD8BFA}"/>
    <hyperlink ref="A750" r:id="rId48" xr:uid="{C9BBB8A0-FA0E-4049-AE41-79BF684BC61F}"/>
    <hyperlink ref="A777" r:id="rId49" xr:uid="{8150FDAE-0AE9-47D5-9D79-955C47CAD461}"/>
    <hyperlink ref="A799" r:id="rId50" xr:uid="{056299C1-7100-4BBC-81E7-E05EBDCFE6A9}"/>
    <hyperlink ref="C803" r:id="rId51" xr:uid="{8A959936-1EBB-465D-8C80-C00D31B7E331}"/>
    <hyperlink ref="A838" r:id="rId52" xr:uid="{F08B69C9-9C23-40C8-BCA5-96A2B31459A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E5F65-DCC8-4261-B2EE-16D7B97CB6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67DC16-E48B-4380-86AE-3F19693A3880}">
  <ds:schemaRefs>
    <ds:schemaRef ds:uri="http://purl.org/dc/elements/1.1/"/>
    <ds:schemaRef ds:uri="http://purl.org/dc/dcmitype/"/>
    <ds:schemaRef ds:uri="a4e2c5e2-cb1f-48cf-889d-fca67caa39a4"/>
    <ds:schemaRef ds:uri="http://purl.org/dc/terms/"/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C9D596C-6CAE-4DC8-8D86-255C7334A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Data</vt:lpstr>
      <vt:lpstr>log</vt:lpstr>
      <vt:lpstr>ref</vt:lpstr>
      <vt:lpstr>raw_data</vt:lpstr>
      <vt:lpstr>raw_data_Wang2023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2025-02-17T13:33:55Z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